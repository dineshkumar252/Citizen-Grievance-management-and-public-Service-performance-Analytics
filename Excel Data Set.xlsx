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ESCARE\Desktop\"/>
    </mc:Choice>
  </mc:AlternateContent>
  <xr:revisionPtr revIDLastSave="0" documentId="8_{1D0688F5-B6D5-4B4F-AC39-D4749D207EC4}" xr6:coauthVersionLast="47" xr6:coauthVersionMax="47" xr10:uidLastSave="{00000000-0000-0000-0000-000000000000}"/>
  <bookViews>
    <workbookView xWindow="-120" yWindow="-120" windowWidth="20730" windowHeight="11160" xr2:uid="{00000000-000D-0000-FFFF-FFFF00000000}"/>
  </bookViews>
  <sheets>
    <sheet name="Citizen Grievance Data" sheetId="1" r:id="rId1"/>
    <sheet name="Pivot Tables" sheetId="3" r:id="rId2"/>
  </sheets>
  <calcPr calcId="191028"/>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6" i="1" l="1"/>
  <c r="AB5" i="1"/>
  <c r="AB4" i="1"/>
  <c r="AB3" i="1"/>
  <c r="AB2"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3" i="1"/>
  <c r="Y4" i="1"/>
  <c r="Y5" i="1"/>
  <c r="Y6" i="1"/>
  <c r="Y7"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2"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19" i="1"/>
  <c r="R20" i="1"/>
  <c r="R21" i="1"/>
  <c r="R22" i="1"/>
  <c r="R23" i="1"/>
  <c r="R24" i="1"/>
  <c r="R3" i="1"/>
  <c r="R4" i="1"/>
  <c r="R5" i="1"/>
  <c r="R6" i="1"/>
  <c r="R7" i="1"/>
  <c r="R8" i="1"/>
  <c r="R9" i="1"/>
  <c r="R10" i="1"/>
  <c r="R11" i="1"/>
  <c r="R12" i="1"/>
  <c r="R13" i="1"/>
  <c r="R14" i="1"/>
  <c r="R15" i="1"/>
  <c r="R16" i="1"/>
  <c r="R17" i="1"/>
  <c r="R18" i="1"/>
  <c r="R2"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3" i="1"/>
  <c r="Q4" i="1"/>
  <c r="Q5" i="1"/>
  <c r="Q6" i="1"/>
  <c r="Q7" i="1"/>
  <c r="Q8" i="1"/>
  <c r="Q9" i="1"/>
  <c r="Q10" i="1"/>
  <c r="Q11" i="1"/>
  <c r="Q12" i="1"/>
  <c r="Q13" i="1"/>
  <c r="Q14" i="1"/>
  <c r="Q15" i="1"/>
  <c r="Q16" i="1"/>
  <c r="Q2" i="1"/>
  <c r="P2"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4" i="1"/>
  <c r="P55" i="1"/>
  <c r="P56" i="1"/>
  <c r="P57" i="1"/>
  <c r="P58" i="1"/>
  <c r="P59" i="1"/>
  <c r="P60" i="1"/>
  <c r="P61" i="1"/>
  <c r="P40" i="1"/>
  <c r="P41" i="1"/>
  <c r="P42" i="1"/>
  <c r="P43" i="1"/>
  <c r="P44" i="1"/>
  <c r="P45" i="1"/>
  <c r="P46" i="1"/>
  <c r="P47" i="1"/>
  <c r="P48" i="1"/>
  <c r="P49" i="1"/>
  <c r="P50" i="1"/>
  <c r="P51" i="1"/>
  <c r="P52" i="1"/>
  <c r="P53" i="1"/>
  <c r="P28" i="1"/>
  <c r="P29" i="1"/>
  <c r="P30" i="1"/>
  <c r="P31" i="1"/>
  <c r="P32" i="1"/>
  <c r="P33" i="1"/>
  <c r="P34" i="1"/>
  <c r="P35" i="1"/>
  <c r="P36" i="1"/>
  <c r="P37" i="1"/>
  <c r="P38" i="1"/>
  <c r="P39" i="1"/>
  <c r="P20" i="1"/>
  <c r="P21" i="1"/>
  <c r="P22" i="1"/>
  <c r="P23" i="1"/>
  <c r="P24" i="1"/>
  <c r="P25" i="1"/>
  <c r="P26" i="1"/>
  <c r="P27" i="1"/>
  <c r="P14" i="1"/>
  <c r="P15" i="1"/>
  <c r="P16" i="1"/>
  <c r="P17" i="1"/>
  <c r="P18" i="1"/>
  <c r="P19" i="1"/>
  <c r="P10" i="1"/>
  <c r="P11" i="1"/>
  <c r="P12" i="1"/>
  <c r="P13" i="1"/>
  <c r="P3" i="1"/>
  <c r="P4" i="1"/>
  <c r="P5" i="1"/>
  <c r="P6" i="1"/>
  <c r="P7" i="1"/>
  <c r="P8" i="1"/>
  <c r="P9" i="1"/>
  <c r="K8" i="1"/>
  <c r="M8" i="1" s="1"/>
  <c r="K9" i="1"/>
  <c r="M9" i="1" s="1"/>
  <c r="K10" i="1"/>
  <c r="M10" i="1" s="1"/>
  <c r="K11" i="1"/>
  <c r="M11" i="1" s="1"/>
  <c r="K12" i="1"/>
  <c r="M12" i="1" s="1"/>
  <c r="K13" i="1"/>
  <c r="M13" i="1" s="1"/>
  <c r="K14" i="1"/>
  <c r="M14" i="1" s="1"/>
  <c r="K15" i="1"/>
  <c r="M15" i="1" s="1"/>
  <c r="K16" i="1"/>
  <c r="M16" i="1" s="1"/>
  <c r="K17" i="1"/>
  <c r="M17" i="1" s="1"/>
  <c r="K18" i="1"/>
  <c r="M18" i="1" s="1"/>
  <c r="K19" i="1"/>
  <c r="M19" i="1" s="1"/>
  <c r="K20" i="1"/>
  <c r="M20" i="1" s="1"/>
  <c r="K21" i="1"/>
  <c r="M21" i="1" s="1"/>
  <c r="K22" i="1"/>
  <c r="M22" i="1" s="1"/>
  <c r="K23" i="1"/>
  <c r="M23" i="1" s="1"/>
  <c r="K24" i="1"/>
  <c r="M24" i="1" s="1"/>
  <c r="K25" i="1"/>
  <c r="M25" i="1" s="1"/>
  <c r="K26" i="1"/>
  <c r="M26" i="1" s="1"/>
  <c r="K27" i="1"/>
  <c r="M27" i="1" s="1"/>
  <c r="K28" i="1"/>
  <c r="M28" i="1" s="1"/>
  <c r="K29" i="1"/>
  <c r="M29" i="1" s="1"/>
  <c r="K30" i="1"/>
  <c r="M30" i="1" s="1"/>
  <c r="K31" i="1"/>
  <c r="M31" i="1" s="1"/>
  <c r="K32" i="1"/>
  <c r="M32" i="1" s="1"/>
  <c r="K33" i="1"/>
  <c r="M33" i="1" s="1"/>
  <c r="K34" i="1"/>
  <c r="M34" i="1" s="1"/>
  <c r="K35" i="1"/>
  <c r="M35" i="1" s="1"/>
  <c r="K36" i="1"/>
  <c r="M36" i="1" s="1"/>
  <c r="K37" i="1"/>
  <c r="M37" i="1" s="1"/>
  <c r="K38" i="1"/>
  <c r="M38" i="1" s="1"/>
  <c r="K39" i="1"/>
  <c r="M39" i="1" s="1"/>
  <c r="K40" i="1"/>
  <c r="M40" i="1" s="1"/>
  <c r="K41" i="1"/>
  <c r="M41" i="1" s="1"/>
  <c r="K42" i="1"/>
  <c r="M42" i="1" s="1"/>
  <c r="K43" i="1"/>
  <c r="M43" i="1" s="1"/>
  <c r="K44" i="1"/>
  <c r="M44" i="1" s="1"/>
  <c r="K45" i="1"/>
  <c r="M45" i="1" s="1"/>
  <c r="K46" i="1"/>
  <c r="M46" i="1" s="1"/>
  <c r="K47" i="1"/>
  <c r="M47" i="1" s="1"/>
  <c r="K48" i="1"/>
  <c r="M48" i="1" s="1"/>
  <c r="K49" i="1"/>
  <c r="M49" i="1" s="1"/>
  <c r="K50" i="1"/>
  <c r="M50" i="1" s="1"/>
  <c r="K51" i="1"/>
  <c r="M51" i="1" s="1"/>
  <c r="K52" i="1"/>
  <c r="M52" i="1" s="1"/>
  <c r="K53" i="1"/>
  <c r="M53" i="1" s="1"/>
  <c r="K54" i="1"/>
  <c r="M54" i="1" s="1"/>
  <c r="K55" i="1"/>
  <c r="M55" i="1" s="1"/>
  <c r="K56" i="1"/>
  <c r="M56" i="1" s="1"/>
  <c r="K57" i="1"/>
  <c r="M57" i="1" s="1"/>
  <c r="K58" i="1"/>
  <c r="M58" i="1" s="1"/>
  <c r="K59" i="1"/>
  <c r="M59" i="1" s="1"/>
  <c r="K60" i="1"/>
  <c r="M60" i="1" s="1"/>
  <c r="K61" i="1"/>
  <c r="M61" i="1" s="1"/>
  <c r="K62" i="1"/>
  <c r="M62" i="1" s="1"/>
  <c r="K63" i="1"/>
  <c r="M63" i="1" s="1"/>
  <c r="K64" i="1"/>
  <c r="M64" i="1" s="1"/>
  <c r="K65" i="1"/>
  <c r="M65" i="1" s="1"/>
  <c r="K66" i="1"/>
  <c r="M66" i="1" s="1"/>
  <c r="K67" i="1"/>
  <c r="M67" i="1" s="1"/>
  <c r="K68" i="1"/>
  <c r="M68" i="1" s="1"/>
  <c r="K69" i="1"/>
  <c r="M69" i="1" s="1"/>
  <c r="K70" i="1"/>
  <c r="M70" i="1" s="1"/>
  <c r="K71" i="1"/>
  <c r="M71" i="1" s="1"/>
  <c r="K72" i="1"/>
  <c r="M72" i="1" s="1"/>
  <c r="K73" i="1"/>
  <c r="M73" i="1" s="1"/>
  <c r="K74" i="1"/>
  <c r="M74" i="1" s="1"/>
  <c r="K75" i="1"/>
  <c r="M75" i="1" s="1"/>
  <c r="K76" i="1"/>
  <c r="M76" i="1" s="1"/>
  <c r="K77" i="1"/>
  <c r="M77" i="1" s="1"/>
  <c r="K78" i="1"/>
  <c r="M78" i="1" s="1"/>
  <c r="K79" i="1"/>
  <c r="M79" i="1" s="1"/>
  <c r="K80" i="1"/>
  <c r="M80" i="1" s="1"/>
  <c r="K81" i="1"/>
  <c r="M81" i="1" s="1"/>
  <c r="K82" i="1"/>
  <c r="M82" i="1" s="1"/>
  <c r="K83" i="1"/>
  <c r="M83" i="1" s="1"/>
  <c r="K84" i="1"/>
  <c r="M84" i="1" s="1"/>
  <c r="K85" i="1"/>
  <c r="M85" i="1" s="1"/>
  <c r="K86" i="1"/>
  <c r="M86" i="1" s="1"/>
  <c r="K87" i="1"/>
  <c r="M87" i="1" s="1"/>
  <c r="K88" i="1"/>
  <c r="M88" i="1" s="1"/>
  <c r="K89" i="1"/>
  <c r="M89" i="1" s="1"/>
  <c r="K90" i="1"/>
  <c r="M90" i="1" s="1"/>
  <c r="K91" i="1"/>
  <c r="M91" i="1" s="1"/>
  <c r="K92" i="1"/>
  <c r="M92" i="1" s="1"/>
  <c r="K93" i="1"/>
  <c r="M93" i="1" s="1"/>
  <c r="K94" i="1"/>
  <c r="M94" i="1" s="1"/>
  <c r="K95" i="1"/>
  <c r="M95" i="1" s="1"/>
  <c r="K96" i="1"/>
  <c r="M96" i="1" s="1"/>
  <c r="K97" i="1"/>
  <c r="M97" i="1" s="1"/>
  <c r="K98" i="1"/>
  <c r="M98" i="1" s="1"/>
  <c r="K99" i="1"/>
  <c r="M99" i="1" s="1"/>
  <c r="K100" i="1"/>
  <c r="M100" i="1" s="1"/>
  <c r="K101" i="1"/>
  <c r="M101" i="1" s="1"/>
  <c r="K102" i="1"/>
  <c r="M102" i="1" s="1"/>
  <c r="K103" i="1"/>
  <c r="M103" i="1" s="1"/>
  <c r="K104" i="1"/>
  <c r="M104" i="1" s="1"/>
  <c r="K105" i="1"/>
  <c r="M105" i="1" s="1"/>
  <c r="K106" i="1"/>
  <c r="M106" i="1" s="1"/>
  <c r="K107" i="1"/>
  <c r="M107" i="1" s="1"/>
  <c r="K108" i="1"/>
  <c r="M108" i="1" s="1"/>
  <c r="K109" i="1"/>
  <c r="M109" i="1" s="1"/>
  <c r="K110" i="1"/>
  <c r="M110" i="1" s="1"/>
  <c r="K111" i="1"/>
  <c r="M111" i="1" s="1"/>
  <c r="K112" i="1"/>
  <c r="M112" i="1" s="1"/>
  <c r="K113" i="1"/>
  <c r="M113" i="1" s="1"/>
  <c r="K114" i="1"/>
  <c r="M114" i="1" s="1"/>
  <c r="K115" i="1"/>
  <c r="M115" i="1" s="1"/>
  <c r="K116" i="1"/>
  <c r="M116" i="1" s="1"/>
  <c r="K117" i="1"/>
  <c r="M117" i="1" s="1"/>
  <c r="K118" i="1"/>
  <c r="M118" i="1" s="1"/>
  <c r="K119" i="1"/>
  <c r="M119" i="1" s="1"/>
  <c r="K120" i="1"/>
  <c r="M120" i="1" s="1"/>
  <c r="K121" i="1"/>
  <c r="M121" i="1" s="1"/>
  <c r="K122" i="1"/>
  <c r="M122" i="1" s="1"/>
  <c r="K123" i="1"/>
  <c r="M123" i="1" s="1"/>
  <c r="K124" i="1"/>
  <c r="M124" i="1" s="1"/>
  <c r="K125" i="1"/>
  <c r="M125" i="1" s="1"/>
  <c r="K126" i="1"/>
  <c r="M126" i="1" s="1"/>
  <c r="K127" i="1"/>
  <c r="M127" i="1" s="1"/>
  <c r="K128" i="1"/>
  <c r="M128" i="1" s="1"/>
  <c r="K129" i="1"/>
  <c r="M129" i="1" s="1"/>
  <c r="K130" i="1"/>
  <c r="M130" i="1" s="1"/>
  <c r="K131" i="1"/>
  <c r="M131" i="1" s="1"/>
  <c r="K132" i="1"/>
  <c r="M132" i="1" s="1"/>
  <c r="K133" i="1"/>
  <c r="M133" i="1" s="1"/>
  <c r="K134" i="1"/>
  <c r="M134" i="1" s="1"/>
  <c r="K135" i="1"/>
  <c r="M135" i="1" s="1"/>
  <c r="K136" i="1"/>
  <c r="M136" i="1" s="1"/>
  <c r="K137" i="1"/>
  <c r="M137" i="1" s="1"/>
  <c r="K138" i="1"/>
  <c r="M138" i="1" s="1"/>
  <c r="K139" i="1"/>
  <c r="M139" i="1" s="1"/>
  <c r="K140" i="1"/>
  <c r="M140" i="1" s="1"/>
  <c r="K141" i="1"/>
  <c r="M141" i="1" s="1"/>
  <c r="K142" i="1"/>
  <c r="M142" i="1" s="1"/>
  <c r="K143" i="1"/>
  <c r="M143" i="1" s="1"/>
  <c r="K144" i="1"/>
  <c r="M144" i="1" s="1"/>
  <c r="K145" i="1"/>
  <c r="M145" i="1" s="1"/>
  <c r="K146" i="1"/>
  <c r="M146" i="1" s="1"/>
  <c r="K147" i="1"/>
  <c r="M147" i="1" s="1"/>
  <c r="K148" i="1"/>
  <c r="M148" i="1" s="1"/>
  <c r="K149" i="1"/>
  <c r="M149" i="1" s="1"/>
  <c r="K150" i="1"/>
  <c r="M150" i="1" s="1"/>
  <c r="K151" i="1"/>
  <c r="M151" i="1" s="1"/>
  <c r="K152" i="1"/>
  <c r="M152" i="1" s="1"/>
  <c r="K153" i="1"/>
  <c r="M153" i="1" s="1"/>
  <c r="K154" i="1"/>
  <c r="M154" i="1" s="1"/>
  <c r="K155" i="1"/>
  <c r="M155" i="1" s="1"/>
  <c r="K156" i="1"/>
  <c r="M156" i="1" s="1"/>
  <c r="K157" i="1"/>
  <c r="M157" i="1" s="1"/>
  <c r="K158" i="1"/>
  <c r="M158" i="1" s="1"/>
  <c r="K159" i="1"/>
  <c r="M159" i="1" s="1"/>
  <c r="K160" i="1"/>
  <c r="M160" i="1" s="1"/>
  <c r="K161" i="1"/>
  <c r="M161" i="1" s="1"/>
  <c r="K162" i="1"/>
  <c r="M162" i="1" s="1"/>
  <c r="K163" i="1"/>
  <c r="M163" i="1" s="1"/>
  <c r="K164" i="1"/>
  <c r="M164" i="1" s="1"/>
  <c r="K165" i="1"/>
  <c r="M165" i="1" s="1"/>
  <c r="K166" i="1"/>
  <c r="M166" i="1" s="1"/>
  <c r="K167" i="1"/>
  <c r="M167" i="1" s="1"/>
  <c r="K168" i="1"/>
  <c r="M168" i="1" s="1"/>
  <c r="K169" i="1"/>
  <c r="M169" i="1" s="1"/>
  <c r="K170" i="1"/>
  <c r="M170" i="1" s="1"/>
  <c r="K171" i="1"/>
  <c r="M171" i="1" s="1"/>
  <c r="K172" i="1"/>
  <c r="M172" i="1" s="1"/>
  <c r="K173" i="1"/>
  <c r="M173" i="1" s="1"/>
  <c r="K174" i="1"/>
  <c r="M174" i="1" s="1"/>
  <c r="K175" i="1"/>
  <c r="M175" i="1" s="1"/>
  <c r="K176" i="1"/>
  <c r="M176" i="1" s="1"/>
  <c r="K177" i="1"/>
  <c r="M177" i="1" s="1"/>
  <c r="K178" i="1"/>
  <c r="M178" i="1" s="1"/>
  <c r="K179" i="1"/>
  <c r="M179" i="1" s="1"/>
  <c r="K180" i="1"/>
  <c r="M180" i="1" s="1"/>
  <c r="K181" i="1"/>
  <c r="M181" i="1" s="1"/>
  <c r="K182" i="1"/>
  <c r="M182" i="1" s="1"/>
  <c r="K183" i="1"/>
  <c r="M183" i="1" s="1"/>
  <c r="K184" i="1"/>
  <c r="M184" i="1" s="1"/>
  <c r="K185" i="1"/>
  <c r="M185" i="1" s="1"/>
  <c r="K186" i="1"/>
  <c r="M186" i="1" s="1"/>
  <c r="K187" i="1"/>
  <c r="M187" i="1" s="1"/>
  <c r="K188" i="1"/>
  <c r="M188" i="1" s="1"/>
  <c r="K189" i="1"/>
  <c r="M189" i="1" s="1"/>
  <c r="K190" i="1"/>
  <c r="M190" i="1" s="1"/>
  <c r="K191" i="1"/>
  <c r="M191" i="1" s="1"/>
  <c r="K192" i="1"/>
  <c r="M192" i="1" s="1"/>
  <c r="K193" i="1"/>
  <c r="M193" i="1" s="1"/>
  <c r="K194" i="1"/>
  <c r="M194" i="1" s="1"/>
  <c r="K195" i="1"/>
  <c r="M195" i="1" s="1"/>
  <c r="K196" i="1"/>
  <c r="M196" i="1" s="1"/>
  <c r="K197" i="1"/>
  <c r="M197" i="1" s="1"/>
  <c r="K198" i="1"/>
  <c r="M198" i="1" s="1"/>
  <c r="K199" i="1"/>
  <c r="M199" i="1" s="1"/>
  <c r="K200" i="1"/>
  <c r="M200" i="1" s="1"/>
  <c r="K201" i="1"/>
  <c r="M201" i="1" s="1"/>
  <c r="K202" i="1"/>
  <c r="M202" i="1" s="1"/>
  <c r="K203" i="1"/>
  <c r="M203" i="1" s="1"/>
  <c r="K204" i="1"/>
  <c r="M204" i="1" s="1"/>
  <c r="K205" i="1"/>
  <c r="M205" i="1" s="1"/>
  <c r="K206" i="1"/>
  <c r="M206" i="1" s="1"/>
  <c r="K207" i="1"/>
  <c r="M207" i="1" s="1"/>
  <c r="K208" i="1"/>
  <c r="M208" i="1" s="1"/>
  <c r="K209" i="1"/>
  <c r="M209" i="1" s="1"/>
  <c r="K210" i="1"/>
  <c r="M210" i="1" s="1"/>
  <c r="K211" i="1"/>
  <c r="M211" i="1" s="1"/>
  <c r="K212" i="1"/>
  <c r="M212" i="1" s="1"/>
  <c r="K213" i="1"/>
  <c r="M213" i="1" s="1"/>
  <c r="K214" i="1"/>
  <c r="M214" i="1" s="1"/>
  <c r="K215" i="1"/>
  <c r="M215" i="1" s="1"/>
  <c r="K216" i="1"/>
  <c r="M216" i="1" s="1"/>
  <c r="K217" i="1"/>
  <c r="M217" i="1" s="1"/>
  <c r="K218" i="1"/>
  <c r="M218" i="1" s="1"/>
  <c r="K219" i="1"/>
  <c r="M219" i="1" s="1"/>
  <c r="K220" i="1"/>
  <c r="M220" i="1" s="1"/>
  <c r="K221" i="1"/>
  <c r="M221" i="1" s="1"/>
  <c r="K222" i="1"/>
  <c r="M222" i="1" s="1"/>
  <c r="K223" i="1"/>
  <c r="M223" i="1" s="1"/>
  <c r="K224" i="1"/>
  <c r="M224" i="1" s="1"/>
  <c r="K225" i="1"/>
  <c r="M225" i="1" s="1"/>
  <c r="K226" i="1"/>
  <c r="M226" i="1" s="1"/>
  <c r="K227" i="1"/>
  <c r="M227" i="1" s="1"/>
  <c r="K228" i="1"/>
  <c r="M228" i="1" s="1"/>
  <c r="K229" i="1"/>
  <c r="M229" i="1" s="1"/>
  <c r="K230" i="1"/>
  <c r="M230" i="1" s="1"/>
  <c r="K231" i="1"/>
  <c r="M231" i="1" s="1"/>
  <c r="K232" i="1"/>
  <c r="M232" i="1" s="1"/>
  <c r="K233" i="1"/>
  <c r="M233" i="1" s="1"/>
  <c r="K234" i="1"/>
  <c r="M234" i="1" s="1"/>
  <c r="K235" i="1"/>
  <c r="M235" i="1" s="1"/>
  <c r="K236" i="1"/>
  <c r="M236" i="1" s="1"/>
  <c r="K237" i="1"/>
  <c r="M237" i="1" s="1"/>
  <c r="K238" i="1"/>
  <c r="M238" i="1" s="1"/>
  <c r="K239" i="1"/>
  <c r="M239" i="1" s="1"/>
  <c r="K240" i="1"/>
  <c r="M240" i="1" s="1"/>
  <c r="K241" i="1"/>
  <c r="M241" i="1" s="1"/>
  <c r="K242" i="1"/>
  <c r="M242" i="1" s="1"/>
  <c r="K243" i="1"/>
  <c r="M243" i="1" s="1"/>
  <c r="K244" i="1"/>
  <c r="M244" i="1" s="1"/>
  <c r="K245" i="1"/>
  <c r="M245" i="1" s="1"/>
  <c r="K246" i="1"/>
  <c r="M246" i="1" s="1"/>
  <c r="K247" i="1"/>
  <c r="M247" i="1" s="1"/>
  <c r="K248" i="1"/>
  <c r="M248" i="1" s="1"/>
  <c r="K249" i="1"/>
  <c r="M249" i="1" s="1"/>
  <c r="K250" i="1"/>
  <c r="M250" i="1" s="1"/>
  <c r="K251" i="1"/>
  <c r="M251" i="1" s="1"/>
  <c r="K252" i="1"/>
  <c r="M252" i="1" s="1"/>
  <c r="K253" i="1"/>
  <c r="M253" i="1" s="1"/>
  <c r="K254" i="1"/>
  <c r="M254" i="1" s="1"/>
  <c r="K255" i="1"/>
  <c r="M255" i="1" s="1"/>
  <c r="K256" i="1"/>
  <c r="M256" i="1" s="1"/>
  <c r="K257" i="1"/>
  <c r="M257" i="1" s="1"/>
  <c r="K258" i="1"/>
  <c r="M258" i="1" s="1"/>
  <c r="K259" i="1"/>
  <c r="M259" i="1" s="1"/>
  <c r="K260" i="1"/>
  <c r="M260" i="1" s="1"/>
  <c r="K261" i="1"/>
  <c r="M261" i="1" s="1"/>
  <c r="K262" i="1"/>
  <c r="M262" i="1" s="1"/>
  <c r="K263" i="1"/>
  <c r="M263" i="1" s="1"/>
  <c r="K264" i="1"/>
  <c r="M264" i="1" s="1"/>
  <c r="K265" i="1"/>
  <c r="M265" i="1" s="1"/>
  <c r="K266" i="1"/>
  <c r="M266" i="1" s="1"/>
  <c r="K267" i="1"/>
  <c r="M267" i="1" s="1"/>
  <c r="K268" i="1"/>
  <c r="M268" i="1" s="1"/>
  <c r="K269" i="1"/>
  <c r="M269" i="1" s="1"/>
  <c r="K270" i="1"/>
  <c r="M270" i="1" s="1"/>
  <c r="K271" i="1"/>
  <c r="M271" i="1" s="1"/>
  <c r="K272" i="1"/>
  <c r="M272" i="1" s="1"/>
  <c r="K273" i="1"/>
  <c r="M273" i="1" s="1"/>
  <c r="K274" i="1"/>
  <c r="M274" i="1" s="1"/>
  <c r="K275" i="1"/>
  <c r="M275" i="1" s="1"/>
  <c r="K276" i="1"/>
  <c r="M276" i="1" s="1"/>
  <c r="K277" i="1"/>
  <c r="M277" i="1" s="1"/>
  <c r="K278" i="1"/>
  <c r="M278" i="1" s="1"/>
  <c r="K279" i="1"/>
  <c r="M279" i="1" s="1"/>
  <c r="K280" i="1"/>
  <c r="M280" i="1" s="1"/>
  <c r="K281" i="1"/>
  <c r="M281" i="1" s="1"/>
  <c r="K282" i="1"/>
  <c r="M282" i="1" s="1"/>
  <c r="K283" i="1"/>
  <c r="M283" i="1" s="1"/>
  <c r="K284" i="1"/>
  <c r="M284" i="1" s="1"/>
  <c r="K285" i="1"/>
  <c r="M285" i="1" s="1"/>
  <c r="K286" i="1"/>
  <c r="M286" i="1" s="1"/>
  <c r="K287" i="1"/>
  <c r="M287" i="1" s="1"/>
  <c r="K288" i="1"/>
  <c r="M288" i="1" s="1"/>
  <c r="K289" i="1"/>
  <c r="M289" i="1" s="1"/>
  <c r="K290" i="1"/>
  <c r="M290" i="1" s="1"/>
  <c r="K291" i="1"/>
  <c r="M291" i="1" s="1"/>
  <c r="K292" i="1"/>
  <c r="M292" i="1" s="1"/>
  <c r="K293" i="1"/>
  <c r="M293" i="1" s="1"/>
  <c r="K294" i="1"/>
  <c r="M294" i="1" s="1"/>
  <c r="K295" i="1"/>
  <c r="M295" i="1" s="1"/>
  <c r="K296" i="1"/>
  <c r="M296" i="1" s="1"/>
  <c r="K297" i="1"/>
  <c r="M297" i="1" s="1"/>
  <c r="K298" i="1"/>
  <c r="M298" i="1" s="1"/>
  <c r="K299" i="1"/>
  <c r="M299" i="1" s="1"/>
  <c r="K300" i="1"/>
  <c r="M300" i="1" s="1"/>
  <c r="K301" i="1"/>
  <c r="M301" i="1" s="1"/>
  <c r="K302" i="1"/>
  <c r="M302" i="1" s="1"/>
  <c r="K303" i="1"/>
  <c r="M303" i="1" s="1"/>
  <c r="K304" i="1"/>
  <c r="M304" i="1" s="1"/>
  <c r="K305" i="1"/>
  <c r="M305" i="1" s="1"/>
  <c r="K306" i="1"/>
  <c r="M306" i="1" s="1"/>
  <c r="K307" i="1"/>
  <c r="M307" i="1" s="1"/>
  <c r="K308" i="1"/>
  <c r="M308" i="1" s="1"/>
  <c r="K309" i="1"/>
  <c r="M309" i="1" s="1"/>
  <c r="K310" i="1"/>
  <c r="M310" i="1" s="1"/>
  <c r="K311" i="1"/>
  <c r="M311" i="1" s="1"/>
  <c r="K312" i="1"/>
  <c r="M312" i="1" s="1"/>
  <c r="K313" i="1"/>
  <c r="M313" i="1" s="1"/>
  <c r="K314" i="1"/>
  <c r="M314" i="1" s="1"/>
  <c r="K315" i="1"/>
  <c r="M315" i="1" s="1"/>
  <c r="K316" i="1"/>
  <c r="M316" i="1" s="1"/>
  <c r="K317" i="1"/>
  <c r="M317" i="1" s="1"/>
  <c r="K318" i="1"/>
  <c r="M318" i="1" s="1"/>
  <c r="K319" i="1"/>
  <c r="M319" i="1" s="1"/>
  <c r="K320" i="1"/>
  <c r="M320" i="1" s="1"/>
  <c r="K321" i="1"/>
  <c r="M321" i="1" s="1"/>
  <c r="K322" i="1"/>
  <c r="M322" i="1" s="1"/>
  <c r="K323" i="1"/>
  <c r="M323" i="1" s="1"/>
  <c r="K324" i="1"/>
  <c r="M324" i="1" s="1"/>
  <c r="K325" i="1"/>
  <c r="M325" i="1" s="1"/>
  <c r="K326" i="1"/>
  <c r="M326" i="1" s="1"/>
  <c r="K327" i="1"/>
  <c r="M327" i="1" s="1"/>
  <c r="K328" i="1"/>
  <c r="M328" i="1" s="1"/>
  <c r="K329" i="1"/>
  <c r="M329" i="1" s="1"/>
  <c r="K330" i="1"/>
  <c r="M330" i="1" s="1"/>
  <c r="K331" i="1"/>
  <c r="M331" i="1" s="1"/>
  <c r="K332" i="1"/>
  <c r="M332" i="1" s="1"/>
  <c r="K333" i="1"/>
  <c r="M333" i="1" s="1"/>
  <c r="K334" i="1"/>
  <c r="M334" i="1" s="1"/>
  <c r="K335" i="1"/>
  <c r="M335" i="1" s="1"/>
  <c r="K336" i="1"/>
  <c r="M336" i="1" s="1"/>
  <c r="K337" i="1"/>
  <c r="M337" i="1" s="1"/>
  <c r="K338" i="1"/>
  <c r="M338" i="1" s="1"/>
  <c r="K339" i="1"/>
  <c r="M339" i="1" s="1"/>
  <c r="K340" i="1"/>
  <c r="M340" i="1" s="1"/>
  <c r="K341" i="1"/>
  <c r="M341" i="1" s="1"/>
  <c r="K342" i="1"/>
  <c r="M342" i="1" s="1"/>
  <c r="K343" i="1"/>
  <c r="M343" i="1" s="1"/>
  <c r="K344" i="1"/>
  <c r="M344" i="1" s="1"/>
  <c r="K345" i="1"/>
  <c r="M345" i="1" s="1"/>
  <c r="K346" i="1"/>
  <c r="M346" i="1" s="1"/>
  <c r="K347" i="1"/>
  <c r="M347" i="1" s="1"/>
  <c r="K348" i="1"/>
  <c r="M348" i="1" s="1"/>
  <c r="K349" i="1"/>
  <c r="M349" i="1" s="1"/>
  <c r="K350" i="1"/>
  <c r="M350" i="1" s="1"/>
  <c r="K351" i="1"/>
  <c r="M351" i="1" s="1"/>
  <c r="K352" i="1"/>
  <c r="M352" i="1" s="1"/>
  <c r="K353" i="1"/>
  <c r="M353" i="1" s="1"/>
  <c r="K354" i="1"/>
  <c r="M354" i="1" s="1"/>
  <c r="K355" i="1"/>
  <c r="M355" i="1" s="1"/>
  <c r="K356" i="1"/>
  <c r="M356" i="1" s="1"/>
  <c r="K357" i="1"/>
  <c r="M357" i="1" s="1"/>
  <c r="K358" i="1"/>
  <c r="M358" i="1" s="1"/>
  <c r="K359" i="1"/>
  <c r="M359" i="1" s="1"/>
  <c r="K360" i="1"/>
  <c r="M360" i="1" s="1"/>
  <c r="K361" i="1"/>
  <c r="M361" i="1" s="1"/>
  <c r="K362" i="1"/>
  <c r="M362" i="1" s="1"/>
  <c r="K363" i="1"/>
  <c r="M363" i="1" s="1"/>
  <c r="K364" i="1"/>
  <c r="M364" i="1" s="1"/>
  <c r="K365" i="1"/>
  <c r="M365" i="1" s="1"/>
  <c r="K366" i="1"/>
  <c r="M366" i="1" s="1"/>
  <c r="K367" i="1"/>
  <c r="M367" i="1" s="1"/>
  <c r="K368" i="1"/>
  <c r="M368" i="1" s="1"/>
  <c r="K369" i="1"/>
  <c r="M369" i="1" s="1"/>
  <c r="K370" i="1"/>
  <c r="M370" i="1" s="1"/>
  <c r="K371" i="1"/>
  <c r="M371" i="1" s="1"/>
  <c r="K372" i="1"/>
  <c r="M372" i="1" s="1"/>
  <c r="K373" i="1"/>
  <c r="M373" i="1" s="1"/>
  <c r="K374" i="1"/>
  <c r="M374" i="1" s="1"/>
  <c r="K375" i="1"/>
  <c r="M375" i="1" s="1"/>
  <c r="K376" i="1"/>
  <c r="M376" i="1" s="1"/>
  <c r="K377" i="1"/>
  <c r="M377" i="1" s="1"/>
  <c r="K378" i="1"/>
  <c r="M378" i="1" s="1"/>
  <c r="K379" i="1"/>
  <c r="M379" i="1" s="1"/>
  <c r="K380" i="1"/>
  <c r="M380" i="1" s="1"/>
  <c r="K381" i="1"/>
  <c r="M381" i="1" s="1"/>
  <c r="K382" i="1"/>
  <c r="M382" i="1" s="1"/>
  <c r="K383" i="1"/>
  <c r="M383" i="1" s="1"/>
  <c r="K384" i="1"/>
  <c r="M384" i="1" s="1"/>
  <c r="K385" i="1"/>
  <c r="M385" i="1" s="1"/>
  <c r="K386" i="1"/>
  <c r="M386" i="1" s="1"/>
  <c r="K387" i="1"/>
  <c r="M387" i="1" s="1"/>
  <c r="K388" i="1"/>
  <c r="M388" i="1" s="1"/>
  <c r="K389" i="1"/>
  <c r="M389" i="1" s="1"/>
  <c r="K390" i="1"/>
  <c r="M390" i="1" s="1"/>
  <c r="K391" i="1"/>
  <c r="M391" i="1" s="1"/>
  <c r="K392" i="1"/>
  <c r="M392" i="1" s="1"/>
  <c r="K393" i="1"/>
  <c r="M393" i="1" s="1"/>
  <c r="K394" i="1"/>
  <c r="M394" i="1" s="1"/>
  <c r="K395" i="1"/>
  <c r="M395" i="1" s="1"/>
  <c r="K396" i="1"/>
  <c r="M396" i="1" s="1"/>
  <c r="K397" i="1"/>
  <c r="M397" i="1" s="1"/>
  <c r="K398" i="1"/>
  <c r="M398" i="1" s="1"/>
  <c r="K399" i="1"/>
  <c r="M399" i="1" s="1"/>
  <c r="K400" i="1"/>
  <c r="M400" i="1" s="1"/>
  <c r="K401" i="1"/>
  <c r="M401" i="1" s="1"/>
  <c r="K402" i="1"/>
  <c r="M402" i="1" s="1"/>
  <c r="K403" i="1"/>
  <c r="M403" i="1" s="1"/>
  <c r="K404" i="1"/>
  <c r="M404" i="1" s="1"/>
  <c r="K405" i="1"/>
  <c r="M405" i="1" s="1"/>
  <c r="K406" i="1"/>
  <c r="M406" i="1" s="1"/>
  <c r="K407" i="1"/>
  <c r="M407" i="1" s="1"/>
  <c r="K408" i="1"/>
  <c r="M408" i="1" s="1"/>
  <c r="K409" i="1"/>
  <c r="M409" i="1" s="1"/>
  <c r="K410" i="1"/>
  <c r="M410" i="1" s="1"/>
  <c r="K411" i="1"/>
  <c r="M411" i="1" s="1"/>
  <c r="K412" i="1"/>
  <c r="M412" i="1" s="1"/>
  <c r="K413" i="1"/>
  <c r="M413" i="1" s="1"/>
  <c r="K414" i="1"/>
  <c r="M414" i="1" s="1"/>
  <c r="K415" i="1"/>
  <c r="M415" i="1" s="1"/>
  <c r="K416" i="1"/>
  <c r="M416" i="1" s="1"/>
  <c r="K417" i="1"/>
  <c r="M417" i="1" s="1"/>
  <c r="K418" i="1"/>
  <c r="M418" i="1" s="1"/>
  <c r="K419" i="1"/>
  <c r="M419" i="1" s="1"/>
  <c r="K420" i="1"/>
  <c r="M420" i="1" s="1"/>
  <c r="K421" i="1"/>
  <c r="M421" i="1" s="1"/>
  <c r="K422" i="1"/>
  <c r="M422" i="1" s="1"/>
  <c r="K423" i="1"/>
  <c r="M423" i="1" s="1"/>
  <c r="K424" i="1"/>
  <c r="M424" i="1" s="1"/>
  <c r="K425" i="1"/>
  <c r="M425" i="1" s="1"/>
  <c r="K426" i="1"/>
  <c r="M426" i="1" s="1"/>
  <c r="K427" i="1"/>
  <c r="M427" i="1" s="1"/>
  <c r="K428" i="1"/>
  <c r="M428" i="1" s="1"/>
  <c r="K429" i="1"/>
  <c r="M429" i="1" s="1"/>
  <c r="K430" i="1"/>
  <c r="M430" i="1" s="1"/>
  <c r="K431" i="1"/>
  <c r="M431" i="1" s="1"/>
  <c r="K432" i="1"/>
  <c r="M432" i="1" s="1"/>
  <c r="K433" i="1"/>
  <c r="M433" i="1" s="1"/>
  <c r="K434" i="1"/>
  <c r="M434" i="1" s="1"/>
  <c r="K435" i="1"/>
  <c r="M435" i="1" s="1"/>
  <c r="K436" i="1"/>
  <c r="M436" i="1" s="1"/>
  <c r="K437" i="1"/>
  <c r="M437" i="1" s="1"/>
  <c r="K438" i="1"/>
  <c r="M438" i="1" s="1"/>
  <c r="K439" i="1"/>
  <c r="M439" i="1" s="1"/>
  <c r="K440" i="1"/>
  <c r="M440" i="1" s="1"/>
  <c r="K441" i="1"/>
  <c r="M441" i="1" s="1"/>
  <c r="K442" i="1"/>
  <c r="M442" i="1" s="1"/>
  <c r="K443" i="1"/>
  <c r="M443" i="1" s="1"/>
  <c r="K444" i="1"/>
  <c r="M444" i="1" s="1"/>
  <c r="K445" i="1"/>
  <c r="M445" i="1" s="1"/>
  <c r="K446" i="1"/>
  <c r="M446" i="1" s="1"/>
  <c r="K447" i="1"/>
  <c r="M447" i="1" s="1"/>
  <c r="K448" i="1"/>
  <c r="M448" i="1" s="1"/>
  <c r="K449" i="1"/>
  <c r="M449" i="1" s="1"/>
  <c r="K450" i="1"/>
  <c r="M450" i="1" s="1"/>
  <c r="K451" i="1"/>
  <c r="M451" i="1" s="1"/>
  <c r="K452" i="1"/>
  <c r="M452" i="1" s="1"/>
  <c r="K453" i="1"/>
  <c r="M453" i="1" s="1"/>
  <c r="K454" i="1"/>
  <c r="M454" i="1" s="1"/>
  <c r="K455" i="1"/>
  <c r="M455" i="1" s="1"/>
  <c r="K456" i="1"/>
  <c r="M456" i="1" s="1"/>
  <c r="K457" i="1"/>
  <c r="M457" i="1" s="1"/>
  <c r="K458" i="1"/>
  <c r="M458" i="1" s="1"/>
  <c r="K459" i="1"/>
  <c r="M459" i="1" s="1"/>
  <c r="K460" i="1"/>
  <c r="M460" i="1" s="1"/>
  <c r="K461" i="1"/>
  <c r="M461" i="1" s="1"/>
  <c r="K462" i="1"/>
  <c r="M462" i="1" s="1"/>
  <c r="K463" i="1"/>
  <c r="M463" i="1" s="1"/>
  <c r="K464" i="1"/>
  <c r="M464" i="1" s="1"/>
  <c r="K465" i="1"/>
  <c r="M465" i="1" s="1"/>
  <c r="K466" i="1"/>
  <c r="M466" i="1" s="1"/>
  <c r="K467" i="1"/>
  <c r="M467" i="1" s="1"/>
  <c r="K468" i="1"/>
  <c r="M468" i="1" s="1"/>
  <c r="K469" i="1"/>
  <c r="M469" i="1" s="1"/>
  <c r="K470" i="1"/>
  <c r="M470" i="1" s="1"/>
  <c r="K471" i="1"/>
  <c r="M471" i="1" s="1"/>
  <c r="K472" i="1"/>
  <c r="M472" i="1" s="1"/>
  <c r="K473" i="1"/>
  <c r="M473" i="1" s="1"/>
  <c r="K474" i="1"/>
  <c r="M474" i="1" s="1"/>
  <c r="K475" i="1"/>
  <c r="M475" i="1" s="1"/>
  <c r="K476" i="1"/>
  <c r="M476" i="1" s="1"/>
  <c r="K477" i="1"/>
  <c r="M477" i="1" s="1"/>
  <c r="K478" i="1"/>
  <c r="M478" i="1" s="1"/>
  <c r="K479" i="1"/>
  <c r="M479" i="1" s="1"/>
  <c r="K480" i="1"/>
  <c r="M480" i="1" s="1"/>
  <c r="K481" i="1"/>
  <c r="M481" i="1" s="1"/>
  <c r="K482" i="1"/>
  <c r="M482" i="1" s="1"/>
  <c r="K483" i="1"/>
  <c r="M483" i="1" s="1"/>
  <c r="K484" i="1"/>
  <c r="M484" i="1" s="1"/>
  <c r="K485" i="1"/>
  <c r="M485" i="1" s="1"/>
  <c r="K486" i="1"/>
  <c r="M486" i="1" s="1"/>
  <c r="K487" i="1"/>
  <c r="M487" i="1" s="1"/>
  <c r="K488" i="1"/>
  <c r="M488" i="1" s="1"/>
  <c r="K489" i="1"/>
  <c r="M489" i="1" s="1"/>
  <c r="K490" i="1"/>
  <c r="M490" i="1" s="1"/>
  <c r="K491" i="1"/>
  <c r="M491" i="1" s="1"/>
  <c r="K492" i="1"/>
  <c r="M492" i="1" s="1"/>
  <c r="K493" i="1"/>
  <c r="M493" i="1" s="1"/>
  <c r="K494" i="1"/>
  <c r="M494" i="1" s="1"/>
  <c r="K495" i="1"/>
  <c r="M495" i="1" s="1"/>
  <c r="K496" i="1"/>
  <c r="M496" i="1" s="1"/>
  <c r="K497" i="1"/>
  <c r="M497" i="1" s="1"/>
  <c r="K498" i="1"/>
  <c r="M498" i="1" s="1"/>
  <c r="K499" i="1"/>
  <c r="M499" i="1" s="1"/>
  <c r="K500" i="1"/>
  <c r="M500" i="1" s="1"/>
  <c r="K501" i="1"/>
  <c r="M501" i="1" s="1"/>
  <c r="K3" i="1"/>
  <c r="M3" i="1" s="1"/>
  <c r="K4" i="1"/>
  <c r="M4" i="1" s="1"/>
  <c r="K5" i="1"/>
  <c r="M5" i="1" s="1"/>
  <c r="K6" i="1"/>
  <c r="M6" i="1" s="1"/>
  <c r="K7" i="1"/>
  <c r="M7" i="1" s="1"/>
  <c r="K2" i="1"/>
  <c r="M2" i="1" s="1"/>
</calcChain>
</file>

<file path=xl/sharedStrings.xml><?xml version="1.0" encoding="utf-8"?>
<sst xmlns="http://schemas.openxmlformats.org/spreadsheetml/2006/main" count="5563" uniqueCount="909">
  <si>
    <t>Complaint_ID</t>
  </si>
  <si>
    <t>Department</t>
  </si>
  <si>
    <t>District</t>
  </si>
  <si>
    <t>Priority</t>
  </si>
  <si>
    <t>Status</t>
  </si>
  <si>
    <t>Resolution_Days</t>
  </si>
  <si>
    <t>Complaint_Date</t>
  </si>
  <si>
    <t>Officer_Name</t>
  </si>
  <si>
    <t>Citizen_Category</t>
  </si>
  <si>
    <t>SLA_Breach</t>
  </si>
  <si>
    <t>C0001</t>
  </si>
  <si>
    <t>Water Supply</t>
  </si>
  <si>
    <t>Thanjavur</t>
  </si>
  <si>
    <t>Low</t>
  </si>
  <si>
    <t>In Progress</t>
  </si>
  <si>
    <t>2025-05-07</t>
  </si>
  <si>
    <t>A. Karthik</t>
  </si>
  <si>
    <t>General</t>
  </si>
  <si>
    <t>Yes</t>
  </si>
  <si>
    <t>C0002</t>
  </si>
  <si>
    <t>Municipal Services</t>
  </si>
  <si>
    <t>Vellore</t>
  </si>
  <si>
    <t>Medium</t>
  </si>
  <si>
    <t>Closed</t>
  </si>
  <si>
    <t>2025-08-02</t>
  </si>
  <si>
    <t>P. Divya</t>
  </si>
  <si>
    <t>Farmer</t>
  </si>
  <si>
    <t>C0003</t>
  </si>
  <si>
    <t>Roads</t>
  </si>
  <si>
    <t>Salem</t>
  </si>
  <si>
    <t>Open</t>
  </si>
  <si>
    <t>2025-03-17</t>
  </si>
  <si>
    <t>C0004</t>
  </si>
  <si>
    <t>Coimbatore</t>
  </si>
  <si>
    <t>High</t>
  </si>
  <si>
    <t>2025-10-14</t>
  </si>
  <si>
    <t>Business Owner</t>
  </si>
  <si>
    <t>No</t>
  </si>
  <si>
    <t>C0005</t>
  </si>
  <si>
    <t>Tiruppur</t>
  </si>
  <si>
    <t>S. Priya</t>
  </si>
  <si>
    <t>C0006</t>
  </si>
  <si>
    <t>Resolved</t>
  </si>
  <si>
    <t>2026-03-23</t>
  </si>
  <si>
    <t>Student</t>
  </si>
  <si>
    <t>C0007</t>
  </si>
  <si>
    <t>2025-01-01</t>
  </si>
  <si>
    <t>M. Rajesh</t>
  </si>
  <si>
    <t>C0008</t>
  </si>
  <si>
    <t>Erode</t>
  </si>
  <si>
    <t>2025-10-27</t>
  </si>
  <si>
    <t>V. Arun</t>
  </si>
  <si>
    <t>C0009</t>
  </si>
  <si>
    <t>Public Transport</t>
  </si>
  <si>
    <t>2026-02-11</t>
  </si>
  <si>
    <t>C0010</t>
  </si>
  <si>
    <t>Tirunelveli</t>
  </si>
  <si>
    <t>2026-05-01</t>
  </si>
  <si>
    <t>R. Kumar</t>
  </si>
  <si>
    <t>C0011</t>
  </si>
  <si>
    <t>Street Lights</t>
  </si>
  <si>
    <t>Chennai</t>
  </si>
  <si>
    <t>2025-11-18</t>
  </si>
  <si>
    <t>C0012</t>
  </si>
  <si>
    <t>2025-06-23</t>
  </si>
  <si>
    <t>Senior Citizen</t>
  </si>
  <si>
    <t>C0013</t>
  </si>
  <si>
    <t>2025-07-23</t>
  </si>
  <si>
    <t>C0014</t>
  </si>
  <si>
    <t>Revenue</t>
  </si>
  <si>
    <t>2026-04-12</t>
  </si>
  <si>
    <t>C0015</t>
  </si>
  <si>
    <t>2025-05-29</t>
  </si>
  <si>
    <t>C0016</t>
  </si>
  <si>
    <t>2026-02-01</t>
  </si>
  <si>
    <t>C0017</t>
  </si>
  <si>
    <t>Trichy</t>
  </si>
  <si>
    <t>2025-02-04</t>
  </si>
  <si>
    <t>C0018</t>
  </si>
  <si>
    <t>2025-02-09</t>
  </si>
  <si>
    <t>C0019</t>
  </si>
  <si>
    <t>C0020</t>
  </si>
  <si>
    <t>2026-05-14</t>
  </si>
  <si>
    <t>C0021</t>
  </si>
  <si>
    <t>Madurai</t>
  </si>
  <si>
    <t>2025-10-03</t>
  </si>
  <si>
    <t>C0022</t>
  </si>
  <si>
    <t>2025-09-12</t>
  </si>
  <si>
    <t>C0023</t>
  </si>
  <si>
    <t>2025-06-26</t>
  </si>
  <si>
    <t>C0024</t>
  </si>
  <si>
    <t>2025-06-18</t>
  </si>
  <si>
    <t>C0025</t>
  </si>
  <si>
    <t>2025-01-04</t>
  </si>
  <si>
    <t>C0026</t>
  </si>
  <si>
    <t>2025-01-08</t>
  </si>
  <si>
    <t>C0027</t>
  </si>
  <si>
    <t>2026-02-13</t>
  </si>
  <si>
    <t>C0028</t>
  </si>
  <si>
    <t>2025-05-23</t>
  </si>
  <si>
    <t>C0029</t>
  </si>
  <si>
    <t>2026-01-24</t>
  </si>
  <si>
    <t>C0030</t>
  </si>
  <si>
    <t>2025-02-10</t>
  </si>
  <si>
    <t>C0031</t>
  </si>
  <si>
    <t>C0032</t>
  </si>
  <si>
    <t>2026-03-18</t>
  </si>
  <si>
    <t>C0033</t>
  </si>
  <si>
    <t>2026-05-17</t>
  </si>
  <si>
    <t>C0034</t>
  </si>
  <si>
    <t>2026-03-01</t>
  </si>
  <si>
    <t>C0035</t>
  </si>
  <si>
    <t>2025-05-21</t>
  </si>
  <si>
    <t>C0036</t>
  </si>
  <si>
    <t>2026-01-20</t>
  </si>
  <si>
    <t>C0037</t>
  </si>
  <si>
    <t>2025-04-04</t>
  </si>
  <si>
    <t>C0038</t>
  </si>
  <si>
    <t>2026-05-05</t>
  </si>
  <si>
    <t>C0039</t>
  </si>
  <si>
    <t>2025-02-11</t>
  </si>
  <si>
    <t>C0040</t>
  </si>
  <si>
    <t>2025-02-12</t>
  </si>
  <si>
    <t>C0041</t>
  </si>
  <si>
    <t>2025-03-01</t>
  </si>
  <si>
    <t>C0042</t>
  </si>
  <si>
    <t>2026-05-13</t>
  </si>
  <si>
    <t>C0043</t>
  </si>
  <si>
    <t>2025-02-03</t>
  </si>
  <si>
    <t>C0044</t>
  </si>
  <si>
    <t>2025-08-25</t>
  </si>
  <si>
    <t>C0045</t>
  </si>
  <si>
    <t>2025-08-04</t>
  </si>
  <si>
    <t>C0046</t>
  </si>
  <si>
    <t>2025-06-29</t>
  </si>
  <si>
    <t>C0047</t>
  </si>
  <si>
    <t>2025-09-21</t>
  </si>
  <si>
    <t>C0048</t>
  </si>
  <si>
    <t>2025-02-18</t>
  </si>
  <si>
    <t>C0049</t>
  </si>
  <si>
    <t>2025-01-11</t>
  </si>
  <si>
    <t>C0050</t>
  </si>
  <si>
    <t>2025-03-23</t>
  </si>
  <si>
    <t>C0051</t>
  </si>
  <si>
    <t>2026-05-04</t>
  </si>
  <si>
    <t>C0052</t>
  </si>
  <si>
    <t>2025-02-23</t>
  </si>
  <si>
    <t>C0053</t>
  </si>
  <si>
    <t>2025-09-08</t>
  </si>
  <si>
    <t>C0054</t>
  </si>
  <si>
    <t>2025-09-01</t>
  </si>
  <si>
    <t>C0055</t>
  </si>
  <si>
    <t>2025-02-08</t>
  </si>
  <si>
    <t>C0056</t>
  </si>
  <si>
    <t>2025-12-29</t>
  </si>
  <si>
    <t>C0057</t>
  </si>
  <si>
    <t>2025-01-09</t>
  </si>
  <si>
    <t>C0058</t>
  </si>
  <si>
    <t>2025-05-03</t>
  </si>
  <si>
    <t>C0059</t>
  </si>
  <si>
    <t>C0060</t>
  </si>
  <si>
    <t>2025-12-05</t>
  </si>
  <si>
    <t>C0061</t>
  </si>
  <si>
    <t>2025-09-06</t>
  </si>
  <si>
    <t>C0062</t>
  </si>
  <si>
    <t>2026-06-02</t>
  </si>
  <si>
    <t>C0063</t>
  </si>
  <si>
    <t>2026-02-19</t>
  </si>
  <si>
    <t>C0064</t>
  </si>
  <si>
    <t>C0065</t>
  </si>
  <si>
    <t>2025-10-25</t>
  </si>
  <si>
    <t>C0066</t>
  </si>
  <si>
    <t>2025-03-22</t>
  </si>
  <si>
    <t>C0067</t>
  </si>
  <si>
    <t>2026-06-19</t>
  </si>
  <si>
    <t>C0068</t>
  </si>
  <si>
    <t>2025-04-10</t>
  </si>
  <si>
    <t>C0069</t>
  </si>
  <si>
    <t>2025-09-14</t>
  </si>
  <si>
    <t>C0070</t>
  </si>
  <si>
    <t>C0071</t>
  </si>
  <si>
    <t>2026-04-24</t>
  </si>
  <si>
    <t>C0072</t>
  </si>
  <si>
    <t>2025-10-09</t>
  </si>
  <si>
    <t>C0073</t>
  </si>
  <si>
    <t>2025-09-30</t>
  </si>
  <si>
    <t>C0074</t>
  </si>
  <si>
    <t>2025-08-19</t>
  </si>
  <si>
    <t>C0075</t>
  </si>
  <si>
    <t>2025-06-21</t>
  </si>
  <si>
    <t>C0076</t>
  </si>
  <si>
    <t>2026-04-23</t>
  </si>
  <si>
    <t>C0077</t>
  </si>
  <si>
    <t>2025-03-08</t>
  </si>
  <si>
    <t>C0078</t>
  </si>
  <si>
    <t>2026-04-09</t>
  </si>
  <si>
    <t>C0079</t>
  </si>
  <si>
    <t>2026-01-22</t>
  </si>
  <si>
    <t>C0080</t>
  </si>
  <si>
    <t>2025-03-09</t>
  </si>
  <si>
    <t>C0081</t>
  </si>
  <si>
    <t>2025-04-13</t>
  </si>
  <si>
    <t>C0082</t>
  </si>
  <si>
    <t>2025-08-24</t>
  </si>
  <si>
    <t>C0083</t>
  </si>
  <si>
    <t>C0084</t>
  </si>
  <si>
    <t>2025-09-05</t>
  </si>
  <si>
    <t>C0085</t>
  </si>
  <si>
    <t>2025-02-01</t>
  </si>
  <si>
    <t>C0086</t>
  </si>
  <si>
    <t>C0087</t>
  </si>
  <si>
    <t>2025-12-27</t>
  </si>
  <si>
    <t>C0088</t>
  </si>
  <si>
    <t>2026-02-26</t>
  </si>
  <si>
    <t>C0089</t>
  </si>
  <si>
    <t>C0090</t>
  </si>
  <si>
    <t>2025-02-26</t>
  </si>
  <si>
    <t>C0091</t>
  </si>
  <si>
    <t>2026-02-18</t>
  </si>
  <si>
    <t>C0092</t>
  </si>
  <si>
    <t>2025-04-06</t>
  </si>
  <si>
    <t>C0093</t>
  </si>
  <si>
    <t>2026-06-20</t>
  </si>
  <si>
    <t>C0094</t>
  </si>
  <si>
    <t>2025-08-29</t>
  </si>
  <si>
    <t>C0095</t>
  </si>
  <si>
    <t>2025-06-25</t>
  </si>
  <si>
    <t>C0096</t>
  </si>
  <si>
    <t>2025-05-17</t>
  </si>
  <si>
    <t>C0097</t>
  </si>
  <si>
    <t>2025-12-02</t>
  </si>
  <si>
    <t>C0098</t>
  </si>
  <si>
    <t>2025-03-21</t>
  </si>
  <si>
    <t>C0099</t>
  </si>
  <si>
    <t>2025-05-06</t>
  </si>
  <si>
    <t>C0100</t>
  </si>
  <si>
    <t>2025-06-15</t>
  </si>
  <si>
    <t>C0101</t>
  </si>
  <si>
    <t>C0102</t>
  </si>
  <si>
    <t>2025-03-29</t>
  </si>
  <si>
    <t>C0103</t>
  </si>
  <si>
    <t>2025-11-21</t>
  </si>
  <si>
    <t>C0104</t>
  </si>
  <si>
    <t>2026-05-23</t>
  </si>
  <si>
    <t>C0105</t>
  </si>
  <si>
    <t>2026-01-15</t>
  </si>
  <si>
    <t>C0106</t>
  </si>
  <si>
    <t>2026-04-18</t>
  </si>
  <si>
    <t>C0107</t>
  </si>
  <si>
    <t>2026-04-21</t>
  </si>
  <si>
    <t>C0108</t>
  </si>
  <si>
    <t>C0109</t>
  </si>
  <si>
    <t>2025-08-31</t>
  </si>
  <si>
    <t>C0110</t>
  </si>
  <si>
    <t>2025-11-17</t>
  </si>
  <si>
    <t>C0111</t>
  </si>
  <si>
    <t>C0112</t>
  </si>
  <si>
    <t>2025-02-27</t>
  </si>
  <si>
    <t>C0113</t>
  </si>
  <si>
    <t>2026-01-11</t>
  </si>
  <si>
    <t>C0114</t>
  </si>
  <si>
    <t>2026-05-02</t>
  </si>
  <si>
    <t>C0115</t>
  </si>
  <si>
    <t>2025-12-20</t>
  </si>
  <si>
    <t>C0116</t>
  </si>
  <si>
    <t>2026-01-31</t>
  </si>
  <si>
    <t>C0117</t>
  </si>
  <si>
    <t>C0118</t>
  </si>
  <si>
    <t>C0119</t>
  </si>
  <si>
    <t>2025-04-25</t>
  </si>
  <si>
    <t>C0120</t>
  </si>
  <si>
    <t>2025-07-04</t>
  </si>
  <si>
    <t>C0121</t>
  </si>
  <si>
    <t>C0122</t>
  </si>
  <si>
    <t>2025-07-17</t>
  </si>
  <si>
    <t>C0123</t>
  </si>
  <si>
    <t>2026-03-24</t>
  </si>
  <si>
    <t>C0124</t>
  </si>
  <si>
    <t>2025-10-02</t>
  </si>
  <si>
    <t>C0125</t>
  </si>
  <si>
    <t>2026-04-01</t>
  </si>
  <si>
    <t>C0126</t>
  </si>
  <si>
    <t>2026-05-08</t>
  </si>
  <si>
    <t>C0127</t>
  </si>
  <si>
    <t>2026-02-23</t>
  </si>
  <si>
    <t>C0128</t>
  </si>
  <si>
    <t>2026-01-16</t>
  </si>
  <si>
    <t>C0129</t>
  </si>
  <si>
    <t>2026-05-27</t>
  </si>
  <si>
    <t>C0130</t>
  </si>
  <si>
    <t>2025-11-07</t>
  </si>
  <si>
    <t>C0131</t>
  </si>
  <si>
    <t>2026-06-06</t>
  </si>
  <si>
    <t>C0132</t>
  </si>
  <si>
    <t>2025-10-20</t>
  </si>
  <si>
    <t>C0133</t>
  </si>
  <si>
    <t>C0134</t>
  </si>
  <si>
    <t>2025-01-14</t>
  </si>
  <si>
    <t>C0135</t>
  </si>
  <si>
    <t>2025-09-20</t>
  </si>
  <si>
    <t>C0136</t>
  </si>
  <si>
    <t>C0137</t>
  </si>
  <si>
    <t>C0138</t>
  </si>
  <si>
    <t>2025-10-17</t>
  </si>
  <si>
    <t>C0139</t>
  </si>
  <si>
    <t>C0140</t>
  </si>
  <si>
    <t>2025-04-27</t>
  </si>
  <si>
    <t>C0141</t>
  </si>
  <si>
    <t>2025-11-24</t>
  </si>
  <si>
    <t>C0142</t>
  </si>
  <si>
    <t>2026-04-30</t>
  </si>
  <si>
    <t>C0143</t>
  </si>
  <si>
    <t>C0144</t>
  </si>
  <si>
    <t>2025-05-20</t>
  </si>
  <si>
    <t>C0145</t>
  </si>
  <si>
    <t>2025-11-22</t>
  </si>
  <si>
    <t>C0146</t>
  </si>
  <si>
    <t>2026-05-26</t>
  </si>
  <si>
    <t>C0147</t>
  </si>
  <si>
    <t>C0148</t>
  </si>
  <si>
    <t>C0149</t>
  </si>
  <si>
    <t>2025-05-05</t>
  </si>
  <si>
    <t>C0150</t>
  </si>
  <si>
    <t>2025-02-14</t>
  </si>
  <si>
    <t>C0151</t>
  </si>
  <si>
    <t>2025-11-25</t>
  </si>
  <si>
    <t>C0152</t>
  </si>
  <si>
    <t>2025-06-08</t>
  </si>
  <si>
    <t>C0153</t>
  </si>
  <si>
    <t>2025-10-06</t>
  </si>
  <si>
    <t>C0154</t>
  </si>
  <si>
    <t>2025-01-10</t>
  </si>
  <si>
    <t>C0155</t>
  </si>
  <si>
    <t>2026-05-18</t>
  </si>
  <si>
    <t>C0156</t>
  </si>
  <si>
    <t>2026-01-26</t>
  </si>
  <si>
    <t>C0157</t>
  </si>
  <si>
    <t>2026-03-09</t>
  </si>
  <si>
    <t>C0158</t>
  </si>
  <si>
    <t>2026-05-21</t>
  </si>
  <si>
    <t>C0159</t>
  </si>
  <si>
    <t>2026-04-15</t>
  </si>
  <si>
    <t>C0160</t>
  </si>
  <si>
    <t>2025-01-16</t>
  </si>
  <si>
    <t>C0161</t>
  </si>
  <si>
    <t>2025-04-14</t>
  </si>
  <si>
    <t>C0162</t>
  </si>
  <si>
    <t>2026-05-28</t>
  </si>
  <si>
    <t>C0163</t>
  </si>
  <si>
    <t>2026-04-26</t>
  </si>
  <si>
    <t>C0164</t>
  </si>
  <si>
    <t>2025-01-12</t>
  </si>
  <si>
    <t>C0165</t>
  </si>
  <si>
    <t>2025-11-11</t>
  </si>
  <si>
    <t>C0166</t>
  </si>
  <si>
    <t>2025-03-30</t>
  </si>
  <si>
    <t>C0167</t>
  </si>
  <si>
    <t>2025-04-15</t>
  </si>
  <si>
    <t>C0168</t>
  </si>
  <si>
    <t>2025-05-19</t>
  </si>
  <si>
    <t>C0169</t>
  </si>
  <si>
    <t>C0170</t>
  </si>
  <si>
    <t>2025-12-28</t>
  </si>
  <si>
    <t>C0171</t>
  </si>
  <si>
    <t>2025-09-10</t>
  </si>
  <si>
    <t>C0172</t>
  </si>
  <si>
    <t>2025-09-23</t>
  </si>
  <si>
    <t>C0173</t>
  </si>
  <si>
    <t>C0174</t>
  </si>
  <si>
    <t>2026-04-22</t>
  </si>
  <si>
    <t>C0175</t>
  </si>
  <si>
    <t>C0176</t>
  </si>
  <si>
    <t>2025-10-16</t>
  </si>
  <si>
    <t>C0177</t>
  </si>
  <si>
    <t>2025-10-18</t>
  </si>
  <si>
    <t>C0178</t>
  </si>
  <si>
    <t>2026-01-13</t>
  </si>
  <si>
    <t>C0179</t>
  </si>
  <si>
    <t>2026-06-17</t>
  </si>
  <si>
    <t>C0180</t>
  </si>
  <si>
    <t>2025-03-25</t>
  </si>
  <si>
    <t>C0181</t>
  </si>
  <si>
    <t>C0182</t>
  </si>
  <si>
    <t>2025-12-03</t>
  </si>
  <si>
    <t>C0183</t>
  </si>
  <si>
    <t>2026-02-09</t>
  </si>
  <si>
    <t>C0184</t>
  </si>
  <si>
    <t>2025-06-09</t>
  </si>
  <si>
    <t>C0185</t>
  </si>
  <si>
    <t>2025-10-31</t>
  </si>
  <si>
    <t>C0186</t>
  </si>
  <si>
    <t>2025-09-18</t>
  </si>
  <si>
    <t>C0187</t>
  </si>
  <si>
    <t>2025-10-24</t>
  </si>
  <si>
    <t>C0188</t>
  </si>
  <si>
    <t>C0189</t>
  </si>
  <si>
    <t>2026-01-27</t>
  </si>
  <si>
    <t>C0190</t>
  </si>
  <si>
    <t>2025-01-03</t>
  </si>
  <si>
    <t>C0191</t>
  </si>
  <si>
    <t>C0192</t>
  </si>
  <si>
    <t>2026-01-21</t>
  </si>
  <si>
    <t>C0193</t>
  </si>
  <si>
    <t>2026-03-25</t>
  </si>
  <si>
    <t>C0194</t>
  </si>
  <si>
    <t>2025-10-26</t>
  </si>
  <si>
    <t>C0195</t>
  </si>
  <si>
    <t>2025-08-18</t>
  </si>
  <si>
    <t>C0196</t>
  </si>
  <si>
    <t>2025-08-10</t>
  </si>
  <si>
    <t>C0197</t>
  </si>
  <si>
    <t>2025-06-13</t>
  </si>
  <si>
    <t>C0198</t>
  </si>
  <si>
    <t>2025-06-05</t>
  </si>
  <si>
    <t>C0199</t>
  </si>
  <si>
    <t>2025-05-13</t>
  </si>
  <si>
    <t>C0200</t>
  </si>
  <si>
    <t>C0201</t>
  </si>
  <si>
    <t>C0202</t>
  </si>
  <si>
    <t>2025-06-10</t>
  </si>
  <si>
    <t>C0203</t>
  </si>
  <si>
    <t>2026-01-29</t>
  </si>
  <si>
    <t>C0204</t>
  </si>
  <si>
    <t>2026-04-07</t>
  </si>
  <si>
    <t>C0205</t>
  </si>
  <si>
    <t>C0206</t>
  </si>
  <si>
    <t>2026-02-27</t>
  </si>
  <si>
    <t>C0207</t>
  </si>
  <si>
    <t>2025-06-16</t>
  </si>
  <si>
    <t>C0208</t>
  </si>
  <si>
    <t>C0209</t>
  </si>
  <si>
    <t>C0210</t>
  </si>
  <si>
    <t>2025-08-16</t>
  </si>
  <si>
    <t>C0211</t>
  </si>
  <si>
    <t>C0212</t>
  </si>
  <si>
    <t>2026-04-27</t>
  </si>
  <si>
    <t>C0213</t>
  </si>
  <si>
    <t>2025-12-09</t>
  </si>
  <si>
    <t>C0214</t>
  </si>
  <si>
    <t>2025-06-07</t>
  </si>
  <si>
    <t>C0215</t>
  </si>
  <si>
    <t>2025-04-16</t>
  </si>
  <si>
    <t>C0216</t>
  </si>
  <si>
    <t>2025-11-12</t>
  </si>
  <si>
    <t>C0217</t>
  </si>
  <si>
    <t>2025-04-03</t>
  </si>
  <si>
    <t>C0218</t>
  </si>
  <si>
    <t>2025-04-23</t>
  </si>
  <si>
    <t>C0219</t>
  </si>
  <si>
    <t>C0220</t>
  </si>
  <si>
    <t>2025-08-13</t>
  </si>
  <si>
    <t>C0221</t>
  </si>
  <si>
    <t>2025-03-06</t>
  </si>
  <si>
    <t>C0222</t>
  </si>
  <si>
    <t>2025-11-19</t>
  </si>
  <si>
    <t>C0223</t>
  </si>
  <si>
    <t>2026-06-11</t>
  </si>
  <si>
    <t>C0224</t>
  </si>
  <si>
    <t>C0225</t>
  </si>
  <si>
    <t>C0226</t>
  </si>
  <si>
    <t>C0227</t>
  </si>
  <si>
    <t>2025-02-06</t>
  </si>
  <si>
    <t>C0228</t>
  </si>
  <si>
    <t>C0229</t>
  </si>
  <si>
    <t>C0230</t>
  </si>
  <si>
    <t>C0231</t>
  </si>
  <si>
    <t>2026-05-12</t>
  </si>
  <si>
    <t>C0232</t>
  </si>
  <si>
    <t>2025-11-01</t>
  </si>
  <si>
    <t>C0233</t>
  </si>
  <si>
    <t>2025-01-25</t>
  </si>
  <si>
    <t>C0234</t>
  </si>
  <si>
    <t>2025-10-19</t>
  </si>
  <si>
    <t>C0235</t>
  </si>
  <si>
    <t>2025-05-30</t>
  </si>
  <si>
    <t>C0236</t>
  </si>
  <si>
    <t>C0237</t>
  </si>
  <si>
    <t>C0238</t>
  </si>
  <si>
    <t>2025-12-23</t>
  </si>
  <si>
    <t>C0239</t>
  </si>
  <si>
    <t>C0240</t>
  </si>
  <si>
    <t>2026-02-28</t>
  </si>
  <si>
    <t>C0241</t>
  </si>
  <si>
    <t>C0242</t>
  </si>
  <si>
    <t>C0243</t>
  </si>
  <si>
    <t>C0244</t>
  </si>
  <si>
    <t>2025-08-08</t>
  </si>
  <si>
    <t>C0245</t>
  </si>
  <si>
    <t>2025-10-05</t>
  </si>
  <si>
    <t>C0246</t>
  </si>
  <si>
    <t>2025-08-30</t>
  </si>
  <si>
    <t>C0247</t>
  </si>
  <si>
    <t>2025-05-28</t>
  </si>
  <si>
    <t>C0248</t>
  </si>
  <si>
    <t>2025-07-11</t>
  </si>
  <si>
    <t>C0249</t>
  </si>
  <si>
    <t>2026-06-09</t>
  </si>
  <si>
    <t>C0250</t>
  </si>
  <si>
    <t>2025-10-04</t>
  </si>
  <si>
    <t>C0251</t>
  </si>
  <si>
    <t>C0252</t>
  </si>
  <si>
    <t>2025-01-19</t>
  </si>
  <si>
    <t>C0253</t>
  </si>
  <si>
    <t>C0254</t>
  </si>
  <si>
    <t>2025-09-03</t>
  </si>
  <si>
    <t>C0255</t>
  </si>
  <si>
    <t>2025-12-21</t>
  </si>
  <si>
    <t>C0256</t>
  </si>
  <si>
    <t>C0257</t>
  </si>
  <si>
    <t>2025-07-08</t>
  </si>
  <si>
    <t>C0258</t>
  </si>
  <si>
    <t>2026-04-02</t>
  </si>
  <si>
    <t>C0259</t>
  </si>
  <si>
    <t>C0260</t>
  </si>
  <si>
    <t>C0261</t>
  </si>
  <si>
    <t>C0262</t>
  </si>
  <si>
    <t>2026-05-25</t>
  </si>
  <si>
    <t>C0263</t>
  </si>
  <si>
    <t>2025-08-22</t>
  </si>
  <si>
    <t>C0264</t>
  </si>
  <si>
    <t>2025-09-29</t>
  </si>
  <si>
    <t>C0265</t>
  </si>
  <si>
    <t>2026-03-05</t>
  </si>
  <si>
    <t>C0266</t>
  </si>
  <si>
    <t>C0267</t>
  </si>
  <si>
    <t>2025-05-26</t>
  </si>
  <si>
    <t>C0268</t>
  </si>
  <si>
    <t>2025-06-22</t>
  </si>
  <si>
    <t>C0269</t>
  </si>
  <si>
    <t>2026-03-04</t>
  </si>
  <si>
    <t>C0270</t>
  </si>
  <si>
    <t>2025-12-11</t>
  </si>
  <si>
    <t>C0271</t>
  </si>
  <si>
    <t>2025-08-14</t>
  </si>
  <si>
    <t>C0272</t>
  </si>
  <si>
    <t>C0273</t>
  </si>
  <si>
    <t>2026-02-24</t>
  </si>
  <si>
    <t>C0274</t>
  </si>
  <si>
    <t>C0275</t>
  </si>
  <si>
    <t>2026-02-04</t>
  </si>
  <si>
    <t>C0276</t>
  </si>
  <si>
    <t>C0277</t>
  </si>
  <si>
    <t>2025-06-04</t>
  </si>
  <si>
    <t>C0278</t>
  </si>
  <si>
    <t>2025-09-09</t>
  </si>
  <si>
    <t>C0279</t>
  </si>
  <si>
    <t>2025-03-07</t>
  </si>
  <si>
    <t>C0280</t>
  </si>
  <si>
    <t>2026-04-06</t>
  </si>
  <si>
    <t>C0281</t>
  </si>
  <si>
    <t>C0282</t>
  </si>
  <si>
    <t>2025-04-12</t>
  </si>
  <si>
    <t>C0283</t>
  </si>
  <si>
    <t>2025-05-31</t>
  </si>
  <si>
    <t>C0284</t>
  </si>
  <si>
    <t>2025-02-16</t>
  </si>
  <si>
    <t>C0285</t>
  </si>
  <si>
    <t>C0286</t>
  </si>
  <si>
    <t>2025-09-27</t>
  </si>
  <si>
    <t>C0287</t>
  </si>
  <si>
    <t>2026-05-07</t>
  </si>
  <si>
    <t>C0288</t>
  </si>
  <si>
    <t>C0289</t>
  </si>
  <si>
    <t>2025-02-02</t>
  </si>
  <si>
    <t>C0290</t>
  </si>
  <si>
    <t>2025-12-04</t>
  </si>
  <si>
    <t>C0291</t>
  </si>
  <si>
    <t>2025-09-04</t>
  </si>
  <si>
    <t>C0292</t>
  </si>
  <si>
    <t>C0293</t>
  </si>
  <si>
    <t>2025-02-19</t>
  </si>
  <si>
    <t>C0294</t>
  </si>
  <si>
    <t>2025-11-26</t>
  </si>
  <si>
    <t>C0295</t>
  </si>
  <si>
    <t>2026-05-03</t>
  </si>
  <si>
    <t>C0296</t>
  </si>
  <si>
    <t>2025-03-24</t>
  </si>
  <si>
    <t>C0297</t>
  </si>
  <si>
    <t>C0298</t>
  </si>
  <si>
    <t>2025-05-24</t>
  </si>
  <si>
    <t>C0299</t>
  </si>
  <si>
    <t>C0300</t>
  </si>
  <si>
    <t>C0301</t>
  </si>
  <si>
    <t>2025-01-29</t>
  </si>
  <si>
    <t>C0302</t>
  </si>
  <si>
    <t>C0303</t>
  </si>
  <si>
    <t>2026-02-08</t>
  </si>
  <si>
    <t>C0304</t>
  </si>
  <si>
    <t>C0305</t>
  </si>
  <si>
    <t>2026-06-22</t>
  </si>
  <si>
    <t>C0306</t>
  </si>
  <si>
    <t>C0307</t>
  </si>
  <si>
    <t>C0308</t>
  </si>
  <si>
    <t>2025-08-01</t>
  </si>
  <si>
    <t>C0309</t>
  </si>
  <si>
    <t>C0310</t>
  </si>
  <si>
    <t>C0311</t>
  </si>
  <si>
    <t>2026-03-10</t>
  </si>
  <si>
    <t>C0312</t>
  </si>
  <si>
    <t>C0313</t>
  </si>
  <si>
    <t>C0314</t>
  </si>
  <si>
    <t>2025-05-25</t>
  </si>
  <si>
    <t>C0315</t>
  </si>
  <si>
    <t>C0316</t>
  </si>
  <si>
    <t>2025-12-19</t>
  </si>
  <si>
    <t>C0317</t>
  </si>
  <si>
    <t>2025-11-06</t>
  </si>
  <si>
    <t>C0318</t>
  </si>
  <si>
    <t>2025-07-24</t>
  </si>
  <si>
    <t>C0319</t>
  </si>
  <si>
    <t>2025-11-02</t>
  </si>
  <si>
    <t>C0320</t>
  </si>
  <si>
    <t>C0321</t>
  </si>
  <si>
    <t>2026-02-03</t>
  </si>
  <si>
    <t>C0322</t>
  </si>
  <si>
    <t>C0323</t>
  </si>
  <si>
    <t>2025-01-20</t>
  </si>
  <si>
    <t>C0324</t>
  </si>
  <si>
    <t>2026-04-03</t>
  </si>
  <si>
    <t>C0325</t>
  </si>
  <si>
    <t>C0326</t>
  </si>
  <si>
    <t>2025-11-13</t>
  </si>
  <si>
    <t>C0327</t>
  </si>
  <si>
    <t>C0328</t>
  </si>
  <si>
    <t>2025-05-10</t>
  </si>
  <si>
    <t>C0329</t>
  </si>
  <si>
    <t>2025-06-30</t>
  </si>
  <si>
    <t>C0330</t>
  </si>
  <si>
    <t>C0331</t>
  </si>
  <si>
    <t>2026-03-28</t>
  </si>
  <si>
    <t>C0332</t>
  </si>
  <si>
    <t>2026-03-08</t>
  </si>
  <si>
    <t>C0333</t>
  </si>
  <si>
    <t>C0334</t>
  </si>
  <si>
    <t>C0335</t>
  </si>
  <si>
    <t>2025-09-24</t>
  </si>
  <si>
    <t>C0336</t>
  </si>
  <si>
    <t>2025-10-29</t>
  </si>
  <si>
    <t>C0337</t>
  </si>
  <si>
    <t>2026-06-10</t>
  </si>
  <si>
    <t>C0338</t>
  </si>
  <si>
    <t>C0339</t>
  </si>
  <si>
    <t>2025-01-18</t>
  </si>
  <si>
    <t>C0340</t>
  </si>
  <si>
    <t>C0341</t>
  </si>
  <si>
    <t>2026-05-09</t>
  </si>
  <si>
    <t>C0342</t>
  </si>
  <si>
    <t>2025-03-02</t>
  </si>
  <si>
    <t>C0343</t>
  </si>
  <si>
    <t>2026-04-08</t>
  </si>
  <si>
    <t>C0344</t>
  </si>
  <si>
    <t>2025-11-09</t>
  </si>
  <si>
    <t>C0345</t>
  </si>
  <si>
    <t>C0346</t>
  </si>
  <si>
    <t>C0347</t>
  </si>
  <si>
    <t>2026-01-28</t>
  </si>
  <si>
    <t>C0348</t>
  </si>
  <si>
    <t>C0349</t>
  </si>
  <si>
    <t>2025-02-07</t>
  </si>
  <si>
    <t>C0350</t>
  </si>
  <si>
    <t>2026-04-28</t>
  </si>
  <si>
    <t>C0351</t>
  </si>
  <si>
    <t>2025-07-27</t>
  </si>
  <si>
    <t>C0352</t>
  </si>
  <si>
    <t>2025-10-21</t>
  </si>
  <si>
    <t>C0353</t>
  </si>
  <si>
    <t>C0354</t>
  </si>
  <si>
    <t>C0355</t>
  </si>
  <si>
    <t>C0356</t>
  </si>
  <si>
    <t>C0357</t>
  </si>
  <si>
    <t>C0358</t>
  </si>
  <si>
    <t>C0359</t>
  </si>
  <si>
    <t>2025-10-10</t>
  </si>
  <si>
    <t>C0360</t>
  </si>
  <si>
    <t>2025-06-28</t>
  </si>
  <si>
    <t>C0361</t>
  </si>
  <si>
    <t>C0362</t>
  </si>
  <si>
    <t>C0363</t>
  </si>
  <si>
    <t>2025-10-13</t>
  </si>
  <si>
    <t>C0364</t>
  </si>
  <si>
    <t>C0365</t>
  </si>
  <si>
    <t>C0366</t>
  </si>
  <si>
    <t>2026-01-18</t>
  </si>
  <si>
    <t>C0367</t>
  </si>
  <si>
    <t>C0368</t>
  </si>
  <si>
    <t>2026-01-12</t>
  </si>
  <si>
    <t>C0369</t>
  </si>
  <si>
    <t>C0370</t>
  </si>
  <si>
    <t>C0371</t>
  </si>
  <si>
    <t>C0372</t>
  </si>
  <si>
    <t>2025-01-15</t>
  </si>
  <si>
    <t>C0373</t>
  </si>
  <si>
    <t>C0374</t>
  </si>
  <si>
    <t>2026-01-02</t>
  </si>
  <si>
    <t>C0375</t>
  </si>
  <si>
    <t>2025-12-13</t>
  </si>
  <si>
    <t>C0376</t>
  </si>
  <si>
    <t>2025-07-25</t>
  </si>
  <si>
    <t>C0377</t>
  </si>
  <si>
    <t>2025-03-04</t>
  </si>
  <si>
    <t>C0378</t>
  </si>
  <si>
    <t>2025-05-22</t>
  </si>
  <si>
    <t>C0379</t>
  </si>
  <si>
    <t>C0380</t>
  </si>
  <si>
    <t>2025-07-20</t>
  </si>
  <si>
    <t>C0381</t>
  </si>
  <si>
    <t>2026-04-25</t>
  </si>
  <si>
    <t>C0382</t>
  </si>
  <si>
    <t>2026-03-22</t>
  </si>
  <si>
    <t>C0383</t>
  </si>
  <si>
    <t>2025-07-16</t>
  </si>
  <si>
    <t>C0384</t>
  </si>
  <si>
    <t>2026-03-03</t>
  </si>
  <si>
    <t>C0385</t>
  </si>
  <si>
    <t>2026-01-03</t>
  </si>
  <si>
    <t>C0386</t>
  </si>
  <si>
    <t>2025-03-13</t>
  </si>
  <si>
    <t>C0387</t>
  </si>
  <si>
    <t>C0388</t>
  </si>
  <si>
    <t>C0389</t>
  </si>
  <si>
    <t>C0390</t>
  </si>
  <si>
    <t>C0391</t>
  </si>
  <si>
    <t>C0392</t>
  </si>
  <si>
    <t>C0393</t>
  </si>
  <si>
    <t>2025-04-28</t>
  </si>
  <si>
    <t>C0394</t>
  </si>
  <si>
    <t>C0395</t>
  </si>
  <si>
    <t>C0396</t>
  </si>
  <si>
    <t>C0397</t>
  </si>
  <si>
    <t>C0398</t>
  </si>
  <si>
    <t>C0399</t>
  </si>
  <si>
    <t>C0400</t>
  </si>
  <si>
    <t>2026-06-12</t>
  </si>
  <si>
    <t>C0401</t>
  </si>
  <si>
    <t>2025-09-15</t>
  </si>
  <si>
    <t>C0402</t>
  </si>
  <si>
    <t>2025-12-10</t>
  </si>
  <si>
    <t>C0403</t>
  </si>
  <si>
    <t>2025-09-25</t>
  </si>
  <si>
    <t>C0404</t>
  </si>
  <si>
    <t>C0405</t>
  </si>
  <si>
    <t>C0406</t>
  </si>
  <si>
    <t>2025-01-07</t>
  </si>
  <si>
    <t>C0407</t>
  </si>
  <si>
    <t>C0408</t>
  </si>
  <si>
    <t>C0409</t>
  </si>
  <si>
    <t>2026-03-26</t>
  </si>
  <si>
    <t>C0410</t>
  </si>
  <si>
    <t>2025-06-01</t>
  </si>
  <si>
    <t>C0411</t>
  </si>
  <si>
    <t>2026-02-05</t>
  </si>
  <si>
    <t>C0412</t>
  </si>
  <si>
    <t>2026-03-31</t>
  </si>
  <si>
    <t>C0413</t>
  </si>
  <si>
    <t>2026-02-12</t>
  </si>
  <si>
    <t>C0414</t>
  </si>
  <si>
    <t>C0415</t>
  </si>
  <si>
    <t>C0416</t>
  </si>
  <si>
    <t>C0417</t>
  </si>
  <si>
    <t>2025-04-24</t>
  </si>
  <si>
    <t>C0418</t>
  </si>
  <si>
    <t>C0419</t>
  </si>
  <si>
    <t>C0420</t>
  </si>
  <si>
    <t>2025-06-24</t>
  </si>
  <si>
    <t>C0421</t>
  </si>
  <si>
    <t>C0422</t>
  </si>
  <si>
    <t>2026-03-16</t>
  </si>
  <si>
    <t>C0423</t>
  </si>
  <si>
    <t>C0424</t>
  </si>
  <si>
    <t>C0425</t>
  </si>
  <si>
    <t>C0426</t>
  </si>
  <si>
    <t>C0427</t>
  </si>
  <si>
    <t>2026-01-14</t>
  </si>
  <si>
    <t>C0428</t>
  </si>
  <si>
    <t>2026-06-07</t>
  </si>
  <si>
    <t>C0429</t>
  </si>
  <si>
    <t>2026-06-01</t>
  </si>
  <si>
    <t>C0430</t>
  </si>
  <si>
    <t>2025-11-20</t>
  </si>
  <si>
    <t>C0431</t>
  </si>
  <si>
    <t>C0432</t>
  </si>
  <si>
    <t>C0433</t>
  </si>
  <si>
    <t>C0434</t>
  </si>
  <si>
    <t>2026-05-20</t>
  </si>
  <si>
    <t>C0435</t>
  </si>
  <si>
    <t>C0436</t>
  </si>
  <si>
    <t>2025-07-26</t>
  </si>
  <si>
    <t>C0437</t>
  </si>
  <si>
    <t>C0438</t>
  </si>
  <si>
    <t>2025-09-07</t>
  </si>
  <si>
    <t>C0439</t>
  </si>
  <si>
    <t>C0440</t>
  </si>
  <si>
    <t>2025-12-15</t>
  </si>
  <si>
    <t>C0441</t>
  </si>
  <si>
    <t>C0442</t>
  </si>
  <si>
    <t>C0443</t>
  </si>
  <si>
    <t>C0444</t>
  </si>
  <si>
    <t>C0445</t>
  </si>
  <si>
    <t>C0446</t>
  </si>
  <si>
    <t>2025-12-06</t>
  </si>
  <si>
    <t>C0447</t>
  </si>
  <si>
    <t>2025-10-23</t>
  </si>
  <si>
    <t>C0448</t>
  </si>
  <si>
    <t>C0449</t>
  </si>
  <si>
    <t>C0450</t>
  </si>
  <si>
    <t>2026-05-29</t>
  </si>
  <si>
    <t>C0451</t>
  </si>
  <si>
    <t>2025-11-05</t>
  </si>
  <si>
    <t>C0452</t>
  </si>
  <si>
    <t>C0453</t>
  </si>
  <si>
    <t>2025-12-01</t>
  </si>
  <si>
    <t>C0454</t>
  </si>
  <si>
    <t>2026-04-19</t>
  </si>
  <si>
    <t>C0455</t>
  </si>
  <si>
    <t>2025-06-03</t>
  </si>
  <si>
    <t>C0456</t>
  </si>
  <si>
    <t>C0457</t>
  </si>
  <si>
    <t>2025-08-26</t>
  </si>
  <si>
    <t>C0458</t>
  </si>
  <si>
    <t>C0459</t>
  </si>
  <si>
    <t>C0460</t>
  </si>
  <si>
    <t>2025-03-16</t>
  </si>
  <si>
    <t>C0461</t>
  </si>
  <si>
    <t>C0462</t>
  </si>
  <si>
    <t>C0463</t>
  </si>
  <si>
    <t>2025-07-18</t>
  </si>
  <si>
    <t>C0464</t>
  </si>
  <si>
    <t>C0465</t>
  </si>
  <si>
    <t>C0466</t>
  </si>
  <si>
    <t>2026-04-16</t>
  </si>
  <si>
    <t>C0467</t>
  </si>
  <si>
    <t>C0468</t>
  </si>
  <si>
    <t>2025-01-23</t>
  </si>
  <si>
    <t>C0469</t>
  </si>
  <si>
    <t>2026-06-14</t>
  </si>
  <si>
    <t>C0470</t>
  </si>
  <si>
    <t>C0471</t>
  </si>
  <si>
    <t>2025-07-21</t>
  </si>
  <si>
    <t>C0472</t>
  </si>
  <si>
    <t>2025-05-15</t>
  </si>
  <si>
    <t>C0473</t>
  </si>
  <si>
    <t>C0474</t>
  </si>
  <si>
    <t>2026-06-16</t>
  </si>
  <si>
    <t>C0475</t>
  </si>
  <si>
    <t>2026-02-21</t>
  </si>
  <si>
    <t>C0476</t>
  </si>
  <si>
    <t>C0477</t>
  </si>
  <si>
    <t>C0478</t>
  </si>
  <si>
    <t>C0479</t>
  </si>
  <si>
    <t>C0480</t>
  </si>
  <si>
    <t>C0481</t>
  </si>
  <si>
    <t>2025-11-08</t>
  </si>
  <si>
    <t>C0482</t>
  </si>
  <si>
    <t>2025-02-20</t>
  </si>
  <si>
    <t>C0483</t>
  </si>
  <si>
    <t>C0484</t>
  </si>
  <si>
    <t>2026-06-08</t>
  </si>
  <si>
    <t>C0485</t>
  </si>
  <si>
    <t>2025-08-28</t>
  </si>
  <si>
    <t>C0486</t>
  </si>
  <si>
    <t>C0487</t>
  </si>
  <si>
    <t>C0488</t>
  </si>
  <si>
    <t>2026-03-06</t>
  </si>
  <si>
    <t>C0489</t>
  </si>
  <si>
    <t>2025-03-14</t>
  </si>
  <si>
    <t>C0490</t>
  </si>
  <si>
    <t>2025-05-18</t>
  </si>
  <si>
    <t>C0491</t>
  </si>
  <si>
    <t>C0492</t>
  </si>
  <si>
    <t>2025-06-06</t>
  </si>
  <si>
    <t>C0493</t>
  </si>
  <si>
    <t>C0494</t>
  </si>
  <si>
    <t>2025-04-21</t>
  </si>
  <si>
    <t>C0495</t>
  </si>
  <si>
    <t>C0496</t>
  </si>
  <si>
    <t>C0497</t>
  </si>
  <si>
    <t>C0498</t>
  </si>
  <si>
    <t>C0499</t>
  </si>
  <si>
    <t>C0500</t>
  </si>
  <si>
    <t>Complaint Type</t>
  </si>
  <si>
    <t>Complaint  Channel</t>
  </si>
  <si>
    <t>Mobile App</t>
  </si>
  <si>
    <t>Website</t>
  </si>
  <si>
    <t>Helpline</t>
  </si>
  <si>
    <t>Walk in</t>
  </si>
  <si>
    <t>Email</t>
  </si>
  <si>
    <t>Complaint Description</t>
  </si>
  <si>
    <t>Citizen Rating</t>
  </si>
  <si>
    <t>Reopend Case</t>
  </si>
  <si>
    <t>SLA Target Days</t>
  </si>
  <si>
    <t>Resolution Status</t>
  </si>
  <si>
    <t>officer ID</t>
  </si>
  <si>
    <t>officer experience</t>
  </si>
  <si>
    <t>Officer Workload</t>
  </si>
  <si>
    <t>Estimated Cost</t>
  </si>
  <si>
    <t>Actual Cost</t>
  </si>
  <si>
    <t xml:space="preserve">Escalated </t>
  </si>
  <si>
    <t>Escalation Level</t>
  </si>
  <si>
    <t>Resolution Date</t>
  </si>
  <si>
    <t>Total Complaints</t>
  </si>
  <si>
    <t>Kpi Calculation</t>
  </si>
  <si>
    <t>Closed Complaints</t>
  </si>
  <si>
    <t>Open Complaints</t>
  </si>
  <si>
    <t>SLA Breaches</t>
  </si>
  <si>
    <t>Average Resolution Days</t>
  </si>
  <si>
    <t>Row Labels</t>
  </si>
  <si>
    <t>Grand Total</t>
  </si>
  <si>
    <t>Count of Complaint_ID</t>
  </si>
  <si>
    <t>Average of Resolution_Days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</si>
</sst>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14" fontId="0" fillId="0" borderId="0" xfId="0" applyNumberFormat="1"/>
    <xf numFmtId="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uetooth" refreshedDate="46199.074218981485" createdVersion="8" refreshedVersion="8" minRefreshableVersion="3" recordCount="500" xr:uid="{CF430886-6D1F-49E7-BBA7-5DFB81ADC3FB}">
  <cacheSource type="worksheet">
    <worksheetSource ref="A1:Y501" sheet="Citizen Grievance Data"/>
  </cacheSource>
  <cacheFields count="25">
    <cacheField name="Complaint_ID" numFmtId="0">
      <sharedItems/>
    </cacheField>
    <cacheField name="Department" numFmtId="0">
      <sharedItems count="6">
        <s v="Water Supply"/>
        <s v="Municipal Services"/>
        <s v="Roads"/>
        <s v="Public Transport"/>
        <s v="Street Lights"/>
        <s v="Revenue"/>
      </sharedItems>
    </cacheField>
    <cacheField name="District" numFmtId="0">
      <sharedItems count="10">
        <s v="Thanjavur"/>
        <s v="Vellore"/>
        <s v="Salem"/>
        <s v="Coimbatore"/>
        <s v="Tiruppur"/>
        <s v="Erode"/>
        <s v="Tirunelveli"/>
        <s v="Chennai"/>
        <s v="Trichy"/>
        <s v="Madurai"/>
      </sharedItems>
    </cacheField>
    <cacheField name="Priority" numFmtId="0">
      <sharedItems/>
    </cacheField>
    <cacheField name="Status" numFmtId="0">
      <sharedItems/>
    </cacheField>
    <cacheField name="Resolution_Days" numFmtId="0">
      <sharedItems containsSemiMixedTypes="0" containsString="0" containsNumber="1" containsInteger="1" minValue="0" maxValue="45"/>
    </cacheField>
    <cacheField name="Complaint_Date" numFmtId="0">
      <sharedItems/>
    </cacheField>
    <cacheField name="Officer_Name" numFmtId="0">
      <sharedItems count="6">
        <s v="A. Karthik"/>
        <s v="P. Divya"/>
        <s v="S. Priya"/>
        <s v="M. Rajesh"/>
        <s v="V. Arun"/>
        <s v="R. Kumar"/>
      </sharedItems>
    </cacheField>
    <cacheField name="Citizen_Category" numFmtId="0">
      <sharedItems/>
    </cacheField>
    <cacheField name="SLA_Breach" numFmtId="0">
      <sharedItems/>
    </cacheField>
    <cacheField name="Complaint Type" numFmtId="0">
      <sharedItems/>
    </cacheField>
    <cacheField name="Complaint  Channel" numFmtId="0">
      <sharedItems/>
    </cacheField>
    <cacheField name="Complaint Description" numFmtId="0">
      <sharedItems/>
    </cacheField>
    <cacheField name="Citizen Rating" numFmtId="0">
      <sharedItems containsSemiMixedTypes="0" containsString="0" containsNumber="1" containsInteger="1" minValue="1" maxValue="5"/>
    </cacheField>
    <cacheField name="Reopend Case" numFmtId="0">
      <sharedItems/>
    </cacheField>
    <cacheField name="SLA Target Days" numFmtId="0">
      <sharedItems containsSemiMixedTypes="0" containsString="0" containsNumber="1" containsInteger="1" minValue="3" maxValue="15"/>
    </cacheField>
    <cacheField name="Resolution Status" numFmtId="0">
      <sharedItems/>
    </cacheField>
    <cacheField name="officer ID" numFmtId="0">
      <sharedItems/>
    </cacheField>
    <cacheField name="officer experience" numFmtId="0">
      <sharedItems containsSemiMixedTypes="0" containsString="0" containsNumber="1" containsInteger="1" minValue="1" maxValue="15"/>
    </cacheField>
    <cacheField name="Officer Workload" numFmtId="0">
      <sharedItems containsSemiMixedTypes="0" containsString="0" containsNumber="1" containsInteger="1" minValue="5" maxValue="50"/>
    </cacheField>
    <cacheField name="Estimated Cost" numFmtId="0">
      <sharedItems containsSemiMixedTypes="0" containsString="0" containsNumber="1" containsInteger="1" minValue="1050" maxValue="49942"/>
    </cacheField>
    <cacheField name="Actual Cost" numFmtId="0">
      <sharedItems containsSemiMixedTypes="0" containsString="0" containsNumber="1" containsInteger="1" minValue="-77" maxValue="51778"/>
    </cacheField>
    <cacheField name="Escalated " numFmtId="0">
      <sharedItems/>
    </cacheField>
    <cacheField name="Escalation Level" numFmtId="0">
      <sharedItems/>
    </cacheField>
    <cacheField name="Resolution Date" numFmtId="14">
      <sharedItems containsSemiMixedTypes="0" containsNonDate="0" containsDate="1" containsString="0" minDate="2025-01-02T00:00:00" maxDate="2026-07-27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0001"/>
    <x v="0"/>
    <x v="0"/>
    <s v="Low"/>
    <s v="In Progress"/>
    <n v="36"/>
    <s v="2025-05-07"/>
    <x v="0"/>
    <s v="General"/>
    <s v="Yes"/>
    <s v="Water Leakage"/>
    <s v="Mobile App"/>
    <s v="Water pipe leakage near school"/>
    <n v="1"/>
    <s v="Yes"/>
    <n v="15"/>
    <s v="Delayed"/>
    <s v="Off002"/>
    <n v="13"/>
    <n v="31"/>
    <n v="15385"/>
    <n v="15624"/>
    <s v="Yes"/>
    <s v="Level 1"/>
    <d v="2025-06-12T00:00:00"/>
  </r>
  <r>
    <s v="C0002"/>
    <x v="1"/>
    <x v="1"/>
    <s v="Medium"/>
    <s v="Closed"/>
    <n v="9"/>
    <s v="2025-08-02"/>
    <x v="1"/>
    <s v="Farmer"/>
    <s v="Yes"/>
    <s v="Garbage Collection"/>
    <s v="Website"/>
    <s v="Garbage not collected for 3 days"/>
    <n v="3"/>
    <s v="No"/>
    <n v="7"/>
    <s v="Delayed"/>
    <s v="Off003"/>
    <n v="1"/>
    <n v="14"/>
    <n v="24829"/>
    <n v="25878"/>
    <s v="Yes"/>
    <s v="Level 2"/>
    <d v="2025-08-11T00:00:00"/>
  </r>
  <r>
    <s v="C0003"/>
    <x v="2"/>
    <x v="2"/>
    <s v="Medium"/>
    <s v="Open"/>
    <n v="40"/>
    <s v="2025-03-17"/>
    <x v="1"/>
    <s v="General"/>
    <s v="Yes"/>
    <s v="Road Damage"/>
    <s v="Helpline"/>
    <s v="Road damaged due to heavy rain"/>
    <n v="5"/>
    <s v="No"/>
    <n v="7"/>
    <s v="Delayed"/>
    <s v="Off004"/>
    <n v="8"/>
    <n v="5"/>
    <n v="18542"/>
    <n v="17397"/>
    <s v="Yes"/>
    <s v="Level 2"/>
    <d v="2025-04-26T00:00:00"/>
  </r>
  <r>
    <s v="C0004"/>
    <x v="0"/>
    <x v="3"/>
    <s v="High"/>
    <s v="In Progress"/>
    <n v="7"/>
    <s v="2025-10-14"/>
    <x v="1"/>
    <s v="Business Owner"/>
    <s v="No"/>
    <s v="Water Leakage"/>
    <s v="Walk in"/>
    <s v="Water pipe leakage near school"/>
    <n v="1"/>
    <s v="Yes"/>
    <n v="3"/>
    <s v="Delayed"/>
    <s v="Off005"/>
    <n v="15"/>
    <n v="37"/>
    <n v="5355"/>
    <n v="3443"/>
    <s v="Yes"/>
    <s v="Level 3"/>
    <d v="2025-10-21T00:00:00"/>
  </r>
  <r>
    <s v="C0005"/>
    <x v="2"/>
    <x v="4"/>
    <s v="Medium"/>
    <s v="Closed"/>
    <n v="1"/>
    <s v="2025-05-07"/>
    <x v="2"/>
    <s v="General"/>
    <s v="No"/>
    <s v="Road Damage"/>
    <s v="Email"/>
    <s v="Road damaged due to heavy rain"/>
    <n v="2"/>
    <s v="Yes"/>
    <n v="7"/>
    <s v="Within SLA"/>
    <s v="Off006"/>
    <n v="10"/>
    <n v="49"/>
    <n v="37276"/>
    <n v="39136"/>
    <s v="No"/>
    <s v="None"/>
    <d v="2025-05-08T00:00:00"/>
  </r>
  <r>
    <s v="C0006"/>
    <x v="2"/>
    <x v="3"/>
    <s v="Medium"/>
    <s v="Resolved"/>
    <n v="29"/>
    <s v="2026-03-23"/>
    <x v="1"/>
    <s v="Student"/>
    <s v="Yes"/>
    <s v="Road Damage"/>
    <s v="Mobile App"/>
    <s v="Road damaged due to heavy rain"/>
    <n v="5"/>
    <s v="No"/>
    <n v="7"/>
    <s v="Delayed"/>
    <s v="Off007"/>
    <n v="1"/>
    <n v="18"/>
    <n v="31054"/>
    <n v="32637"/>
    <s v="Yes"/>
    <s v="Level 2"/>
    <d v="2026-04-21T00:00:00"/>
  </r>
  <r>
    <s v="C0007"/>
    <x v="1"/>
    <x v="2"/>
    <s v="Low"/>
    <s v="Resolved"/>
    <n v="1"/>
    <s v="2025-01-01"/>
    <x v="3"/>
    <s v="Farmer"/>
    <s v="No"/>
    <s v="Garbage Collection"/>
    <s v="Website"/>
    <s v="Garbage not collected for 3 days"/>
    <n v="1"/>
    <s v="Yes"/>
    <n v="15"/>
    <s v="Within SLA"/>
    <s v="Off008"/>
    <n v="4"/>
    <n v="16"/>
    <n v="16192"/>
    <n v="14940"/>
    <s v="No"/>
    <s v="None"/>
    <d v="2025-01-02T00:00:00"/>
  </r>
  <r>
    <s v="C0008"/>
    <x v="1"/>
    <x v="5"/>
    <s v="Medium"/>
    <s v="Resolved"/>
    <n v="22"/>
    <s v="2025-10-27"/>
    <x v="4"/>
    <s v="Business Owner"/>
    <s v="Yes"/>
    <s v="Garbage Collection"/>
    <s v="Helpline"/>
    <s v="Garbage not collected for 3 days"/>
    <n v="3"/>
    <s v="No"/>
    <n v="7"/>
    <s v="Delayed"/>
    <s v="Off009"/>
    <n v="10"/>
    <n v="14"/>
    <n v="27341"/>
    <n v="28492"/>
    <s v="Yes"/>
    <s v="Level 2"/>
    <d v="2025-11-18T00:00:00"/>
  </r>
  <r>
    <s v="C0009"/>
    <x v="3"/>
    <x v="0"/>
    <s v="Low"/>
    <s v="Resolved"/>
    <n v="14"/>
    <s v="2026-02-11"/>
    <x v="1"/>
    <s v="Farmer"/>
    <s v="Yes"/>
    <s v="Public Transport Delay"/>
    <s v="Walk in"/>
    <s v="Bus arrival delay reported"/>
    <n v="4"/>
    <s v="No"/>
    <n v="15"/>
    <s v="Within SLA"/>
    <s v="Off010"/>
    <n v="8"/>
    <n v="28"/>
    <n v="49438"/>
    <n v="51327"/>
    <s v="No"/>
    <s v="None"/>
    <d v="2026-02-25T00:00:00"/>
  </r>
  <r>
    <s v="C0010"/>
    <x v="1"/>
    <x v="6"/>
    <s v="Medium"/>
    <s v="Resolved"/>
    <n v="6"/>
    <s v="2026-05-01"/>
    <x v="5"/>
    <s v="Farmer"/>
    <s v="No"/>
    <s v="Garbage Collection"/>
    <s v="Email"/>
    <s v="Garbage not collected for 3 days"/>
    <n v="1"/>
    <s v="Yes"/>
    <n v="7"/>
    <s v="Within SLA"/>
    <s v="Off011"/>
    <n v="14"/>
    <n v="46"/>
    <n v="12384"/>
    <n v="12051"/>
    <s v="No"/>
    <s v="None"/>
    <d v="2026-05-07T00:00:00"/>
  </r>
  <r>
    <s v="C0011"/>
    <x v="4"/>
    <x v="7"/>
    <s v="Low"/>
    <s v="In Progress"/>
    <n v="18"/>
    <s v="2025-11-18"/>
    <x v="0"/>
    <s v="Student"/>
    <s v="Yes"/>
    <s v="General Complaint"/>
    <s v="Mobile App"/>
    <s v="General complaint reported"/>
    <n v="4"/>
    <s v="No"/>
    <n v="15"/>
    <s v="Delayed"/>
    <s v="Off012"/>
    <n v="6"/>
    <n v="6"/>
    <n v="14068"/>
    <n v="12427"/>
    <s v="Yes"/>
    <s v="Level 1"/>
    <d v="2025-12-06T00:00:00"/>
  </r>
  <r>
    <s v="C0012"/>
    <x v="0"/>
    <x v="0"/>
    <s v="High"/>
    <s v="Closed"/>
    <n v="6"/>
    <s v="2025-06-23"/>
    <x v="2"/>
    <s v="Senior Citizen"/>
    <s v="No"/>
    <s v="Water Leakage"/>
    <s v="Website"/>
    <s v="Water pipe leakage near school"/>
    <n v="1"/>
    <s v="Yes"/>
    <n v="3"/>
    <s v="Delayed"/>
    <s v="Off013"/>
    <n v="8"/>
    <n v="31"/>
    <n v="11814"/>
    <n v="11899"/>
    <s v="Yes"/>
    <s v="Level 3"/>
    <d v="2025-06-29T00:00:00"/>
  </r>
  <r>
    <s v="C0013"/>
    <x v="0"/>
    <x v="5"/>
    <s v="High"/>
    <s v="Open"/>
    <n v="24"/>
    <s v="2025-07-23"/>
    <x v="0"/>
    <s v="Senior Citizen"/>
    <s v="Yes"/>
    <s v="Water Leakage"/>
    <s v="Helpline"/>
    <s v="Water pipe leakage near school"/>
    <n v="4"/>
    <s v="No"/>
    <n v="3"/>
    <s v="Delayed"/>
    <s v="Off014"/>
    <n v="3"/>
    <n v="26"/>
    <n v="32015"/>
    <n v="30428"/>
    <s v="Yes"/>
    <s v="Level 3"/>
    <d v="2025-08-16T00:00:00"/>
  </r>
  <r>
    <s v="C0014"/>
    <x v="5"/>
    <x v="1"/>
    <s v="Medium"/>
    <s v="Open"/>
    <n v="16"/>
    <s v="2026-04-12"/>
    <x v="5"/>
    <s v="General"/>
    <s v="Yes"/>
    <s v="General Complaint"/>
    <s v="Walk in"/>
    <s v="General complaint reported"/>
    <n v="4"/>
    <s v="No"/>
    <n v="7"/>
    <s v="Delayed"/>
    <s v="Off015"/>
    <n v="10"/>
    <n v="14"/>
    <n v="14306"/>
    <n v="13096"/>
    <s v="Yes"/>
    <s v="Level 2"/>
    <d v="2026-04-28T00:00:00"/>
  </r>
  <r>
    <s v="C0015"/>
    <x v="1"/>
    <x v="2"/>
    <s v="Low"/>
    <s v="Closed"/>
    <n v="25"/>
    <s v="2025-05-29"/>
    <x v="5"/>
    <s v="Student"/>
    <s v="Yes"/>
    <s v="Garbage Collection"/>
    <s v="Email"/>
    <s v="Garbage not collected for 3 days"/>
    <n v="3"/>
    <s v="No"/>
    <n v="15"/>
    <s v="Delayed"/>
    <s v="Off016"/>
    <n v="6"/>
    <n v="43"/>
    <n v="2102"/>
    <n v="2795"/>
    <s v="Yes"/>
    <s v="Level 1"/>
    <d v="2025-06-23T00:00:00"/>
  </r>
  <r>
    <s v="C0016"/>
    <x v="1"/>
    <x v="4"/>
    <s v="Medium"/>
    <s v="Closed"/>
    <n v="29"/>
    <s v="2026-02-01"/>
    <x v="5"/>
    <s v="Senior Citizen"/>
    <s v="Yes"/>
    <s v="Garbage Collection"/>
    <s v="Mobile App"/>
    <s v="Garbage not collected for 3 days"/>
    <n v="1"/>
    <s v="Yes"/>
    <n v="7"/>
    <s v="Delayed"/>
    <s v="Off017"/>
    <n v="14"/>
    <n v="42"/>
    <n v="44913"/>
    <n v="43063"/>
    <s v="Yes"/>
    <s v="Level 2"/>
    <d v="2026-03-02T00:00:00"/>
  </r>
  <r>
    <s v="C0017"/>
    <x v="0"/>
    <x v="8"/>
    <s v="Medium"/>
    <s v="Resolved"/>
    <n v="14"/>
    <s v="2025-02-04"/>
    <x v="1"/>
    <s v="Business Owner"/>
    <s v="Yes"/>
    <s v="Water Leakage"/>
    <s v="Website"/>
    <s v="Water pipe leakage near school"/>
    <n v="3"/>
    <s v="No"/>
    <n v="7"/>
    <s v="Delayed"/>
    <s v="Off018"/>
    <n v="7"/>
    <n v="9"/>
    <n v="38200"/>
    <n v="37158"/>
    <s v="Yes"/>
    <s v="Level 2"/>
    <d v="2025-02-18T00:00:00"/>
  </r>
  <r>
    <s v="C0018"/>
    <x v="2"/>
    <x v="5"/>
    <s v="High"/>
    <s v="Open"/>
    <n v="42"/>
    <s v="2025-02-09"/>
    <x v="5"/>
    <s v="Senior Citizen"/>
    <s v="Yes"/>
    <s v="Road Damage"/>
    <s v="Helpline"/>
    <s v="Road damaged due to heavy rain"/>
    <n v="3"/>
    <s v="No"/>
    <n v="3"/>
    <s v="Delayed"/>
    <s v="Off019"/>
    <n v="14"/>
    <n v="16"/>
    <n v="26319"/>
    <n v="27823"/>
    <s v="Yes"/>
    <s v="Level 3"/>
    <d v="2025-03-23T00:00:00"/>
  </r>
  <r>
    <s v="C0019"/>
    <x v="2"/>
    <x v="3"/>
    <s v="High"/>
    <s v="Resolved"/>
    <n v="28"/>
    <s v="2025-02-09"/>
    <x v="5"/>
    <s v="Senior Citizen"/>
    <s v="Yes"/>
    <s v="Road Damage"/>
    <s v="Walk in"/>
    <s v="Road damaged due to heavy rain"/>
    <n v="4"/>
    <s v="No"/>
    <n v="3"/>
    <s v="Delayed"/>
    <s v="Off020"/>
    <n v="9"/>
    <n v="41"/>
    <n v="38894"/>
    <n v="39244"/>
    <s v="Yes"/>
    <s v="Level 3"/>
    <d v="2025-03-09T00:00:00"/>
  </r>
  <r>
    <s v="C0020"/>
    <x v="5"/>
    <x v="8"/>
    <s v="Medium"/>
    <s v="Resolved"/>
    <n v="5"/>
    <s v="2026-05-14"/>
    <x v="2"/>
    <s v="General"/>
    <s v="No"/>
    <s v="General Complaint"/>
    <s v="Email"/>
    <s v="General complaint reported"/>
    <n v="3"/>
    <s v="No"/>
    <n v="7"/>
    <s v="Within SLA"/>
    <s v="Off021"/>
    <n v="12"/>
    <n v="17"/>
    <n v="29387"/>
    <n v="29602"/>
    <s v="No"/>
    <s v="None"/>
    <d v="2026-05-19T00:00:00"/>
  </r>
  <r>
    <s v="C0021"/>
    <x v="5"/>
    <x v="9"/>
    <s v="Medium"/>
    <s v="In Progress"/>
    <n v="25"/>
    <s v="2025-10-03"/>
    <x v="2"/>
    <s v="Senior Citizen"/>
    <s v="Yes"/>
    <s v="General Complaint"/>
    <s v="Mobile App"/>
    <s v="General complaint reported"/>
    <n v="3"/>
    <s v="No"/>
    <n v="7"/>
    <s v="Delayed"/>
    <s v="Off022"/>
    <n v="13"/>
    <n v="32"/>
    <n v="34238"/>
    <n v="34779"/>
    <s v="Yes"/>
    <s v="Level 2"/>
    <d v="2025-10-28T00:00:00"/>
  </r>
  <r>
    <s v="C0022"/>
    <x v="0"/>
    <x v="2"/>
    <s v="Medium"/>
    <s v="Resolved"/>
    <n v="2"/>
    <s v="2025-09-12"/>
    <x v="1"/>
    <s v="General"/>
    <s v="No"/>
    <s v="Water Leakage"/>
    <s v="Website"/>
    <s v="Water pipe leakage near school"/>
    <n v="2"/>
    <s v="Yes"/>
    <n v="7"/>
    <s v="Within SLA"/>
    <s v="Off023"/>
    <n v="14"/>
    <n v="23"/>
    <n v="14461"/>
    <n v="14836"/>
    <s v="No"/>
    <s v="None"/>
    <d v="2025-09-14T00:00:00"/>
  </r>
  <r>
    <s v="C0023"/>
    <x v="0"/>
    <x v="5"/>
    <s v="Low"/>
    <s v="Open"/>
    <n v="20"/>
    <s v="2025-06-26"/>
    <x v="4"/>
    <s v="Farmer"/>
    <s v="Yes"/>
    <s v="Water Leakage"/>
    <s v="Helpline"/>
    <s v="Water pipe leakage near school"/>
    <n v="1"/>
    <s v="Yes"/>
    <n v="15"/>
    <s v="Delayed"/>
    <s v="Off024"/>
    <n v="13"/>
    <n v="50"/>
    <n v="4035"/>
    <n v="5025"/>
    <s v="Yes"/>
    <s v="Level 1"/>
    <d v="2025-07-16T00:00:00"/>
  </r>
  <r>
    <s v="C0024"/>
    <x v="0"/>
    <x v="4"/>
    <s v="High"/>
    <s v="Resolved"/>
    <n v="21"/>
    <s v="2025-06-18"/>
    <x v="3"/>
    <s v="Senior Citizen"/>
    <s v="Yes"/>
    <s v="Water Leakage"/>
    <s v="Walk in"/>
    <s v="Water pipe leakage near school"/>
    <n v="3"/>
    <s v="No"/>
    <n v="3"/>
    <s v="Delayed"/>
    <s v="Off025"/>
    <n v="9"/>
    <n v="13"/>
    <n v="47508"/>
    <n v="45535"/>
    <s v="Yes"/>
    <s v="Level 3"/>
    <d v="2025-07-09T00:00:00"/>
  </r>
  <r>
    <s v="C0025"/>
    <x v="5"/>
    <x v="4"/>
    <s v="Medium"/>
    <s v="In Progress"/>
    <n v="4"/>
    <s v="2025-01-04"/>
    <x v="0"/>
    <s v="Farmer"/>
    <s v="No"/>
    <s v="General Complaint"/>
    <s v="Email"/>
    <s v="General complaint reported"/>
    <n v="3"/>
    <s v="No"/>
    <n v="7"/>
    <s v="Within SLA"/>
    <s v="Off026"/>
    <n v="10"/>
    <n v="16"/>
    <n v="41382"/>
    <n v="40459"/>
    <s v="No"/>
    <s v="None"/>
    <d v="2025-01-08T00:00:00"/>
  </r>
  <r>
    <s v="C0026"/>
    <x v="3"/>
    <x v="4"/>
    <s v="Medium"/>
    <s v="Resolved"/>
    <n v="12"/>
    <s v="2025-01-08"/>
    <x v="1"/>
    <s v="Senior Citizen"/>
    <s v="Yes"/>
    <s v="Public Transport Delay"/>
    <s v="Mobile App"/>
    <s v="Bus arrival delay reported"/>
    <n v="2"/>
    <s v="Yes"/>
    <n v="7"/>
    <s v="Delayed"/>
    <s v="Off027"/>
    <n v="10"/>
    <n v="32"/>
    <n v="9217"/>
    <n v="9167"/>
    <s v="Yes"/>
    <s v="Level 2"/>
    <d v="2025-01-20T00:00:00"/>
  </r>
  <r>
    <s v="C0027"/>
    <x v="2"/>
    <x v="5"/>
    <s v="High"/>
    <s v="Resolved"/>
    <n v="25"/>
    <s v="2026-02-13"/>
    <x v="3"/>
    <s v="Senior Citizen"/>
    <s v="Yes"/>
    <s v="Road Damage"/>
    <s v="Website"/>
    <s v="Road damaged due to heavy rain"/>
    <n v="1"/>
    <s v="Yes"/>
    <n v="3"/>
    <s v="Delayed"/>
    <s v="Off028"/>
    <n v="2"/>
    <n v="29"/>
    <n v="26471"/>
    <n v="25603"/>
    <s v="Yes"/>
    <s v="Level 3"/>
    <d v="2026-03-10T00:00:00"/>
  </r>
  <r>
    <s v="C0028"/>
    <x v="3"/>
    <x v="0"/>
    <s v="Medium"/>
    <s v="Resolved"/>
    <n v="17"/>
    <s v="2025-05-23"/>
    <x v="4"/>
    <s v="Business Owner"/>
    <s v="Yes"/>
    <s v="Public Transport Delay"/>
    <s v="Helpline"/>
    <s v="Bus arrival delay reported"/>
    <n v="3"/>
    <s v="No"/>
    <n v="7"/>
    <s v="Delayed"/>
    <s v="Off029"/>
    <n v="10"/>
    <n v="48"/>
    <n v="14234"/>
    <n v="15094"/>
    <s v="Yes"/>
    <s v="Level 2"/>
    <d v="2025-06-09T00:00:00"/>
  </r>
  <r>
    <s v="C0029"/>
    <x v="2"/>
    <x v="2"/>
    <s v="Low"/>
    <s v="Open"/>
    <n v="5"/>
    <s v="2026-01-24"/>
    <x v="0"/>
    <s v="General"/>
    <s v="No"/>
    <s v="Road Damage"/>
    <s v="Walk in"/>
    <s v="Road damaged due to heavy rain"/>
    <n v="5"/>
    <s v="No"/>
    <n v="15"/>
    <s v="Within SLA"/>
    <s v="Off030"/>
    <n v="8"/>
    <n v="12"/>
    <n v="26612"/>
    <n v="25362"/>
    <s v="No"/>
    <s v="None"/>
    <d v="2026-01-29T00:00:00"/>
  </r>
  <r>
    <s v="C0030"/>
    <x v="0"/>
    <x v="5"/>
    <s v="Low"/>
    <s v="Open"/>
    <n v="22"/>
    <s v="2025-02-10"/>
    <x v="2"/>
    <s v="Business Owner"/>
    <s v="Yes"/>
    <s v="Water Leakage"/>
    <s v="Email"/>
    <s v="Water pipe leakage near school"/>
    <n v="1"/>
    <s v="Yes"/>
    <n v="15"/>
    <s v="Delayed"/>
    <s v="Off031"/>
    <n v="2"/>
    <n v="9"/>
    <n v="18169"/>
    <n v="17169"/>
    <s v="Yes"/>
    <s v="Level 1"/>
    <d v="2025-03-04T00:00:00"/>
  </r>
  <r>
    <s v="C0031"/>
    <x v="4"/>
    <x v="6"/>
    <s v="Low"/>
    <s v="Open"/>
    <n v="30"/>
    <s v="2025-10-14"/>
    <x v="3"/>
    <s v="Senior Citizen"/>
    <s v="Yes"/>
    <s v="General Complaint"/>
    <s v="Mobile App"/>
    <s v="General complaint reported"/>
    <n v="5"/>
    <s v="No"/>
    <n v="15"/>
    <s v="Delayed"/>
    <s v="Off032"/>
    <n v="1"/>
    <n v="45"/>
    <n v="37284"/>
    <n v="36688"/>
    <s v="Yes"/>
    <s v="Level 1"/>
    <d v="2025-11-13T00:00:00"/>
  </r>
  <r>
    <s v="C0032"/>
    <x v="5"/>
    <x v="9"/>
    <s v="High"/>
    <s v="Open"/>
    <n v="32"/>
    <s v="2026-03-18"/>
    <x v="1"/>
    <s v="Business Owner"/>
    <s v="Yes"/>
    <s v="General Complaint"/>
    <s v="Website"/>
    <s v="General complaint reported"/>
    <n v="4"/>
    <s v="No"/>
    <n v="3"/>
    <s v="Delayed"/>
    <s v="Off033"/>
    <n v="9"/>
    <n v="7"/>
    <n v="9469"/>
    <n v="7775"/>
    <s v="Yes"/>
    <s v="Level 3"/>
    <d v="2026-04-19T00:00:00"/>
  </r>
  <r>
    <s v="C0033"/>
    <x v="3"/>
    <x v="2"/>
    <s v="Low"/>
    <s v="In Progress"/>
    <n v="30"/>
    <s v="2026-05-17"/>
    <x v="2"/>
    <s v="Farmer"/>
    <s v="Yes"/>
    <s v="Public Transport Delay"/>
    <s v="Helpline"/>
    <s v="Bus arrival delay reported"/>
    <n v="5"/>
    <s v="No"/>
    <n v="15"/>
    <s v="Delayed"/>
    <s v="Off034"/>
    <n v="12"/>
    <n v="18"/>
    <n v="41653"/>
    <n v="41195"/>
    <s v="Yes"/>
    <s v="Level 1"/>
    <d v="2026-06-16T00:00:00"/>
  </r>
  <r>
    <s v="C0034"/>
    <x v="3"/>
    <x v="8"/>
    <s v="High"/>
    <s v="Closed"/>
    <n v="30"/>
    <s v="2026-03-01"/>
    <x v="4"/>
    <s v="Senior Citizen"/>
    <s v="Yes"/>
    <s v="Public Transport Delay"/>
    <s v="Walk in"/>
    <s v="Bus arrival delay reported"/>
    <n v="1"/>
    <s v="Yes"/>
    <n v="3"/>
    <s v="Delayed"/>
    <s v="Off035"/>
    <n v="8"/>
    <n v="5"/>
    <n v="23365"/>
    <n v="22533"/>
    <s v="Yes"/>
    <s v="Level 3"/>
    <d v="2026-03-31T00:00:00"/>
  </r>
  <r>
    <s v="C0035"/>
    <x v="5"/>
    <x v="9"/>
    <s v="Medium"/>
    <s v="Resolved"/>
    <n v="3"/>
    <s v="2025-05-21"/>
    <x v="4"/>
    <s v="Student"/>
    <s v="No"/>
    <s v="General Complaint"/>
    <s v="Email"/>
    <s v="General complaint reported"/>
    <n v="4"/>
    <s v="No"/>
    <n v="7"/>
    <s v="Within SLA"/>
    <s v="Off036"/>
    <n v="15"/>
    <n v="6"/>
    <n v="2569"/>
    <n v="853"/>
    <s v="No"/>
    <s v="None"/>
    <d v="2025-05-24T00:00:00"/>
  </r>
  <r>
    <s v="C0036"/>
    <x v="1"/>
    <x v="8"/>
    <s v="Medium"/>
    <s v="Open"/>
    <n v="41"/>
    <s v="2026-01-20"/>
    <x v="1"/>
    <s v="Business Owner"/>
    <s v="Yes"/>
    <s v="Garbage Collection"/>
    <s v="Mobile App"/>
    <s v="Garbage not collected for 3 days"/>
    <n v="1"/>
    <s v="Yes"/>
    <n v="7"/>
    <s v="Delayed"/>
    <s v="Off037"/>
    <n v="6"/>
    <n v="24"/>
    <n v="15493"/>
    <n v="16862"/>
    <s v="Yes"/>
    <s v="Level 2"/>
    <d v="2026-03-02T00:00:00"/>
  </r>
  <r>
    <s v="C0037"/>
    <x v="5"/>
    <x v="5"/>
    <s v="High"/>
    <s v="Closed"/>
    <n v="26"/>
    <s v="2025-04-04"/>
    <x v="1"/>
    <s v="Student"/>
    <s v="Yes"/>
    <s v="General Complaint"/>
    <s v="Website"/>
    <s v="General complaint reported"/>
    <n v="4"/>
    <s v="No"/>
    <n v="3"/>
    <s v="Delayed"/>
    <s v="Off038"/>
    <n v="1"/>
    <n v="35"/>
    <n v="7122"/>
    <n v="8321"/>
    <s v="Yes"/>
    <s v="Level 3"/>
    <d v="2025-04-30T00:00:00"/>
  </r>
  <r>
    <s v="C0038"/>
    <x v="2"/>
    <x v="3"/>
    <s v="Low"/>
    <s v="In Progress"/>
    <n v="11"/>
    <s v="2026-05-05"/>
    <x v="3"/>
    <s v="Farmer"/>
    <s v="Yes"/>
    <s v="Road Damage"/>
    <s v="Helpline"/>
    <s v="Road damaged due to heavy rain"/>
    <n v="4"/>
    <s v="No"/>
    <n v="15"/>
    <s v="Within SLA"/>
    <s v="Off039"/>
    <n v="8"/>
    <n v="9"/>
    <n v="36055"/>
    <n v="37820"/>
    <s v="No"/>
    <s v="None"/>
    <d v="2026-05-16T00:00:00"/>
  </r>
  <r>
    <s v="C0039"/>
    <x v="3"/>
    <x v="6"/>
    <s v="Low"/>
    <s v="In Progress"/>
    <n v="35"/>
    <s v="2025-02-11"/>
    <x v="3"/>
    <s v="Student"/>
    <s v="Yes"/>
    <s v="Public Transport Delay"/>
    <s v="Walk in"/>
    <s v="Bus arrival delay reported"/>
    <n v="5"/>
    <s v="No"/>
    <n v="15"/>
    <s v="Delayed"/>
    <s v="Off040"/>
    <n v="2"/>
    <n v="6"/>
    <n v="11047"/>
    <n v="9795"/>
    <s v="Yes"/>
    <s v="Level 1"/>
    <d v="2025-03-18T00:00:00"/>
  </r>
  <r>
    <s v="C0040"/>
    <x v="3"/>
    <x v="4"/>
    <s v="Medium"/>
    <s v="Open"/>
    <n v="27"/>
    <s v="2025-02-12"/>
    <x v="1"/>
    <s v="General"/>
    <s v="Yes"/>
    <s v="Public Transport Delay"/>
    <s v="Email"/>
    <s v="Bus arrival delay reported"/>
    <n v="3"/>
    <s v="No"/>
    <n v="7"/>
    <s v="Delayed"/>
    <s v="Off041"/>
    <n v="9"/>
    <n v="48"/>
    <n v="31470"/>
    <n v="32598"/>
    <s v="Yes"/>
    <s v="Level 2"/>
    <d v="2025-03-11T00:00:00"/>
  </r>
  <r>
    <s v="C0041"/>
    <x v="4"/>
    <x v="0"/>
    <s v="High"/>
    <s v="Resolved"/>
    <n v="3"/>
    <s v="2025-03-01"/>
    <x v="5"/>
    <s v="General"/>
    <s v="No"/>
    <s v="General Complaint"/>
    <s v="Mobile App"/>
    <s v="General complaint reported"/>
    <n v="4"/>
    <s v="No"/>
    <n v="3"/>
    <s v="Within SLA"/>
    <s v="Off042"/>
    <n v="5"/>
    <n v="7"/>
    <n v="16762"/>
    <n v="17760"/>
    <s v="No"/>
    <s v="None"/>
    <d v="2025-03-04T00:00:00"/>
  </r>
  <r>
    <s v="C0042"/>
    <x v="1"/>
    <x v="7"/>
    <s v="High"/>
    <s v="In Progress"/>
    <n v="35"/>
    <s v="2026-05-13"/>
    <x v="1"/>
    <s v="Business Owner"/>
    <s v="Yes"/>
    <s v="Garbage Collection"/>
    <s v="Website"/>
    <s v="Garbage not collected for 3 days"/>
    <n v="2"/>
    <s v="Yes"/>
    <n v="3"/>
    <s v="Delayed"/>
    <s v="Off043"/>
    <n v="6"/>
    <n v="41"/>
    <n v="46424"/>
    <n v="45403"/>
    <s v="Yes"/>
    <s v="Level 3"/>
    <d v="2026-06-17T00:00:00"/>
  </r>
  <r>
    <s v="C0043"/>
    <x v="3"/>
    <x v="7"/>
    <s v="Medium"/>
    <s v="Resolved"/>
    <n v="1"/>
    <s v="2025-02-03"/>
    <x v="2"/>
    <s v="General"/>
    <s v="No"/>
    <s v="Public Transport Delay"/>
    <s v="Helpline"/>
    <s v="Bus arrival delay reported"/>
    <n v="2"/>
    <s v="Yes"/>
    <n v="7"/>
    <s v="Within SLA"/>
    <s v="Off044"/>
    <n v="13"/>
    <n v="21"/>
    <n v="45474"/>
    <n v="45330"/>
    <s v="No"/>
    <s v="None"/>
    <d v="2025-02-04T00:00:00"/>
  </r>
  <r>
    <s v="C0044"/>
    <x v="0"/>
    <x v="3"/>
    <s v="High"/>
    <s v="Resolved"/>
    <n v="19"/>
    <s v="2025-08-25"/>
    <x v="5"/>
    <s v="General"/>
    <s v="Yes"/>
    <s v="Water Leakage"/>
    <s v="Walk in"/>
    <s v="Water pipe leakage near school"/>
    <n v="1"/>
    <s v="Yes"/>
    <n v="3"/>
    <s v="Delayed"/>
    <s v="Off045"/>
    <n v="4"/>
    <n v="35"/>
    <n v="10186"/>
    <n v="9267"/>
    <s v="Yes"/>
    <s v="Level 3"/>
    <d v="2025-09-13T00:00:00"/>
  </r>
  <r>
    <s v="C0045"/>
    <x v="3"/>
    <x v="0"/>
    <s v="Medium"/>
    <s v="Closed"/>
    <n v="11"/>
    <s v="2025-08-04"/>
    <x v="3"/>
    <s v="Business Owner"/>
    <s v="Yes"/>
    <s v="Public Transport Delay"/>
    <s v="Email"/>
    <s v="Bus arrival delay reported"/>
    <n v="3"/>
    <s v="No"/>
    <n v="7"/>
    <s v="Delayed"/>
    <s v="Off046"/>
    <n v="2"/>
    <n v="49"/>
    <n v="21487"/>
    <n v="23119"/>
    <s v="Yes"/>
    <s v="Level 2"/>
    <d v="2025-08-15T00:00:00"/>
  </r>
  <r>
    <s v="C0046"/>
    <x v="0"/>
    <x v="2"/>
    <s v="Medium"/>
    <s v="Open"/>
    <n v="21"/>
    <s v="2025-06-29"/>
    <x v="5"/>
    <s v="Student"/>
    <s v="Yes"/>
    <s v="Water Leakage"/>
    <s v="Mobile App"/>
    <s v="Water pipe leakage near school"/>
    <n v="3"/>
    <s v="No"/>
    <n v="7"/>
    <s v="Delayed"/>
    <s v="Off047"/>
    <n v="7"/>
    <n v="45"/>
    <n v="15142"/>
    <n v="16457"/>
    <s v="Yes"/>
    <s v="Level 2"/>
    <d v="2025-07-20T00:00:00"/>
  </r>
  <r>
    <s v="C0047"/>
    <x v="5"/>
    <x v="9"/>
    <s v="High"/>
    <s v="Open"/>
    <n v="20"/>
    <s v="2025-09-21"/>
    <x v="3"/>
    <s v="Farmer"/>
    <s v="Yes"/>
    <s v="General Complaint"/>
    <s v="Website"/>
    <s v="General complaint reported"/>
    <n v="2"/>
    <s v="Yes"/>
    <n v="3"/>
    <s v="Delayed"/>
    <s v="Off048"/>
    <n v="2"/>
    <n v="22"/>
    <n v="30095"/>
    <n v="31873"/>
    <s v="Yes"/>
    <s v="Level 3"/>
    <d v="2025-10-11T00:00:00"/>
  </r>
  <r>
    <s v="C0048"/>
    <x v="4"/>
    <x v="9"/>
    <s v="Medium"/>
    <s v="In Progress"/>
    <n v="24"/>
    <s v="2025-02-18"/>
    <x v="4"/>
    <s v="Senior Citizen"/>
    <s v="Yes"/>
    <s v="General Complaint"/>
    <s v="Helpline"/>
    <s v="General complaint reported"/>
    <n v="4"/>
    <s v="No"/>
    <n v="7"/>
    <s v="Delayed"/>
    <s v="Off049"/>
    <n v="9"/>
    <n v="6"/>
    <n v="35513"/>
    <n v="37320"/>
    <s v="Yes"/>
    <s v="Level 2"/>
    <d v="2025-03-14T00:00:00"/>
  </r>
  <r>
    <s v="C0049"/>
    <x v="3"/>
    <x v="0"/>
    <s v="Medium"/>
    <s v="Resolved"/>
    <n v="23"/>
    <s v="2025-01-11"/>
    <x v="5"/>
    <s v="Farmer"/>
    <s v="Yes"/>
    <s v="Public Transport Delay"/>
    <s v="Walk in"/>
    <s v="Bus arrival delay reported"/>
    <n v="2"/>
    <s v="Yes"/>
    <n v="7"/>
    <s v="Delayed"/>
    <s v="Off050"/>
    <n v="3"/>
    <n v="28"/>
    <n v="19578"/>
    <n v="20276"/>
    <s v="Yes"/>
    <s v="Level 2"/>
    <d v="2025-02-03T00:00:00"/>
  </r>
  <r>
    <s v="C0050"/>
    <x v="5"/>
    <x v="9"/>
    <s v="Low"/>
    <s v="Resolved"/>
    <n v="15"/>
    <s v="2025-03-23"/>
    <x v="5"/>
    <s v="Business Owner"/>
    <s v="Yes"/>
    <s v="General Complaint"/>
    <s v="Email"/>
    <s v="General complaint reported"/>
    <n v="1"/>
    <s v="Yes"/>
    <n v="15"/>
    <s v="Within SLA"/>
    <s v="Off051"/>
    <n v="12"/>
    <n v="50"/>
    <n v="1877"/>
    <n v="2447"/>
    <s v="No"/>
    <s v="None"/>
    <d v="2025-04-07T00:00:00"/>
  </r>
  <r>
    <s v="C0051"/>
    <x v="0"/>
    <x v="9"/>
    <s v="Medium"/>
    <s v="Closed"/>
    <n v="16"/>
    <s v="2026-05-04"/>
    <x v="3"/>
    <s v="Senior Citizen"/>
    <s v="Yes"/>
    <s v="Water Leakage"/>
    <s v="Mobile App"/>
    <s v="Water pipe leakage near school"/>
    <n v="5"/>
    <s v="No"/>
    <n v="7"/>
    <s v="Delayed"/>
    <s v="Off052"/>
    <n v="13"/>
    <n v="20"/>
    <n v="39310"/>
    <n v="40250"/>
    <s v="Yes"/>
    <s v="Level 2"/>
    <d v="2026-05-20T00:00:00"/>
  </r>
  <r>
    <s v="C0052"/>
    <x v="5"/>
    <x v="4"/>
    <s v="Low"/>
    <s v="Resolved"/>
    <n v="28"/>
    <s v="2025-02-23"/>
    <x v="2"/>
    <s v="Business Owner"/>
    <s v="Yes"/>
    <s v="General Complaint"/>
    <s v="Website"/>
    <s v="General complaint reported"/>
    <n v="1"/>
    <s v="Yes"/>
    <n v="15"/>
    <s v="Delayed"/>
    <s v="Off053"/>
    <n v="14"/>
    <n v="39"/>
    <n v="33897"/>
    <n v="35027"/>
    <s v="Yes"/>
    <s v="Level 1"/>
    <d v="2025-03-23T00:00:00"/>
  </r>
  <r>
    <s v="C0053"/>
    <x v="2"/>
    <x v="3"/>
    <s v="Low"/>
    <s v="In Progress"/>
    <n v="8"/>
    <s v="2025-09-08"/>
    <x v="4"/>
    <s v="General"/>
    <s v="Yes"/>
    <s v="Road Damage"/>
    <s v="Helpline"/>
    <s v="Road damaged due to heavy rain"/>
    <n v="4"/>
    <s v="No"/>
    <n v="15"/>
    <s v="Within SLA"/>
    <s v="Off054"/>
    <n v="3"/>
    <n v="13"/>
    <n v="27492"/>
    <n v="26974"/>
    <s v="No"/>
    <s v="None"/>
    <d v="2025-09-16T00:00:00"/>
  </r>
  <r>
    <s v="C0054"/>
    <x v="5"/>
    <x v="2"/>
    <s v="Medium"/>
    <s v="Resolved"/>
    <n v="19"/>
    <s v="2025-09-01"/>
    <x v="3"/>
    <s v="Senior Citizen"/>
    <s v="Yes"/>
    <s v="General Complaint"/>
    <s v="Walk in"/>
    <s v="General complaint reported"/>
    <n v="3"/>
    <s v="No"/>
    <n v="7"/>
    <s v="Delayed"/>
    <s v="Off055"/>
    <n v="13"/>
    <n v="31"/>
    <n v="29579"/>
    <n v="28033"/>
    <s v="Yes"/>
    <s v="Level 2"/>
    <d v="2025-09-20T00:00:00"/>
  </r>
  <r>
    <s v="C0055"/>
    <x v="2"/>
    <x v="0"/>
    <s v="High"/>
    <s v="Closed"/>
    <n v="23"/>
    <s v="2025-02-08"/>
    <x v="0"/>
    <s v="General"/>
    <s v="Yes"/>
    <s v="Road Damage"/>
    <s v="Email"/>
    <s v="Road damaged due to heavy rain"/>
    <n v="3"/>
    <s v="No"/>
    <n v="3"/>
    <s v="Delayed"/>
    <s v="Off056"/>
    <n v="13"/>
    <n v="49"/>
    <n v="37609"/>
    <n v="38264"/>
    <s v="Yes"/>
    <s v="Level 3"/>
    <d v="2025-03-03T00:00:00"/>
  </r>
  <r>
    <s v="C0056"/>
    <x v="1"/>
    <x v="0"/>
    <s v="High"/>
    <s v="Resolved"/>
    <n v="13"/>
    <s v="2025-12-29"/>
    <x v="4"/>
    <s v="General"/>
    <s v="Yes"/>
    <s v="Garbage Collection"/>
    <s v="Mobile App"/>
    <s v="Garbage not collected for 3 days"/>
    <n v="4"/>
    <s v="No"/>
    <n v="3"/>
    <s v="Delayed"/>
    <s v="Off057"/>
    <n v="5"/>
    <n v="20"/>
    <n v="22875"/>
    <n v="23640"/>
    <s v="Yes"/>
    <s v="Level 3"/>
    <d v="2026-01-11T00:00:00"/>
  </r>
  <r>
    <s v="C0057"/>
    <x v="4"/>
    <x v="0"/>
    <s v="Low"/>
    <s v="Resolved"/>
    <n v="20"/>
    <s v="2025-01-09"/>
    <x v="0"/>
    <s v="Business Owner"/>
    <s v="Yes"/>
    <s v="General Complaint"/>
    <s v="Website"/>
    <s v="General complaint reported"/>
    <n v="4"/>
    <s v="No"/>
    <n v="15"/>
    <s v="Delayed"/>
    <s v="Off058"/>
    <n v="15"/>
    <n v="50"/>
    <n v="14013"/>
    <n v="14171"/>
    <s v="Yes"/>
    <s v="Level 1"/>
    <d v="2025-01-29T00:00:00"/>
  </r>
  <r>
    <s v="C0058"/>
    <x v="4"/>
    <x v="4"/>
    <s v="High"/>
    <s v="Closed"/>
    <n v="8"/>
    <s v="2025-05-03"/>
    <x v="0"/>
    <s v="Senior Citizen"/>
    <s v="Yes"/>
    <s v="General Complaint"/>
    <s v="Helpline"/>
    <s v="General complaint reported"/>
    <n v="3"/>
    <s v="No"/>
    <n v="3"/>
    <s v="Delayed"/>
    <s v="Off059"/>
    <n v="15"/>
    <n v="28"/>
    <n v="44370"/>
    <n v="42638"/>
    <s v="Yes"/>
    <s v="Level 3"/>
    <d v="2025-05-11T00:00:00"/>
  </r>
  <r>
    <s v="C0059"/>
    <x v="1"/>
    <x v="3"/>
    <s v="Low"/>
    <s v="Resolved"/>
    <n v="2"/>
    <s v="2025-08-04"/>
    <x v="2"/>
    <s v="Farmer"/>
    <s v="No"/>
    <s v="Garbage Collection"/>
    <s v="Walk in"/>
    <s v="Garbage not collected for 3 days"/>
    <n v="4"/>
    <s v="No"/>
    <n v="15"/>
    <s v="Within SLA"/>
    <s v="Off060"/>
    <n v="12"/>
    <n v="15"/>
    <n v="21909"/>
    <n v="20350"/>
    <s v="No"/>
    <s v="None"/>
    <d v="2025-08-06T00:00:00"/>
  </r>
  <r>
    <s v="C0060"/>
    <x v="1"/>
    <x v="4"/>
    <s v="Medium"/>
    <s v="Closed"/>
    <n v="2"/>
    <s v="2025-12-05"/>
    <x v="0"/>
    <s v="General"/>
    <s v="No"/>
    <s v="Garbage Collection"/>
    <s v="Email"/>
    <s v="Garbage not collected for 3 days"/>
    <n v="1"/>
    <s v="Yes"/>
    <n v="7"/>
    <s v="Within SLA"/>
    <s v="Off061"/>
    <n v="2"/>
    <n v="19"/>
    <n v="43887"/>
    <n v="43002"/>
    <s v="No"/>
    <s v="None"/>
    <d v="2025-12-07T00:00:00"/>
  </r>
  <r>
    <s v="C0061"/>
    <x v="4"/>
    <x v="0"/>
    <s v="Low"/>
    <s v="Closed"/>
    <n v="11"/>
    <s v="2025-09-06"/>
    <x v="4"/>
    <s v="General"/>
    <s v="Yes"/>
    <s v="General Complaint"/>
    <s v="Mobile App"/>
    <s v="General complaint reported"/>
    <n v="1"/>
    <s v="Yes"/>
    <n v="15"/>
    <s v="Within SLA"/>
    <s v="Off062"/>
    <n v="1"/>
    <n v="40"/>
    <n v="28760"/>
    <n v="30626"/>
    <s v="No"/>
    <s v="None"/>
    <d v="2025-09-17T00:00:00"/>
  </r>
  <r>
    <s v="C0062"/>
    <x v="3"/>
    <x v="4"/>
    <s v="Medium"/>
    <s v="In Progress"/>
    <n v="44"/>
    <s v="2026-06-02"/>
    <x v="5"/>
    <s v="Senior Citizen"/>
    <s v="Yes"/>
    <s v="Public Transport Delay"/>
    <s v="Website"/>
    <s v="Bus arrival delay reported"/>
    <n v="5"/>
    <s v="No"/>
    <n v="7"/>
    <s v="Delayed"/>
    <s v="Off063"/>
    <n v="8"/>
    <n v="20"/>
    <n v="35047"/>
    <n v="36881"/>
    <s v="Yes"/>
    <s v="Level 2"/>
    <d v="2026-07-16T00:00:00"/>
  </r>
  <r>
    <s v="C0063"/>
    <x v="1"/>
    <x v="7"/>
    <s v="High"/>
    <s v="Closed"/>
    <n v="13"/>
    <s v="2026-02-19"/>
    <x v="1"/>
    <s v="Business Owner"/>
    <s v="Yes"/>
    <s v="Garbage Collection"/>
    <s v="Helpline"/>
    <s v="Garbage not collected for 3 days"/>
    <n v="1"/>
    <s v="Yes"/>
    <n v="3"/>
    <s v="Delayed"/>
    <s v="Off064"/>
    <n v="15"/>
    <n v="23"/>
    <n v="34688"/>
    <n v="33339"/>
    <s v="Yes"/>
    <s v="Level 3"/>
    <d v="2026-03-04T00:00:00"/>
  </r>
  <r>
    <s v="C0064"/>
    <x v="2"/>
    <x v="4"/>
    <s v="High"/>
    <s v="Closed"/>
    <n v="5"/>
    <s v="2026-05-01"/>
    <x v="5"/>
    <s v="General"/>
    <s v="No"/>
    <s v="Road Damage"/>
    <s v="Walk in"/>
    <s v="Road damaged due to heavy rain"/>
    <n v="4"/>
    <s v="No"/>
    <n v="3"/>
    <s v="Delayed"/>
    <s v="Off065"/>
    <n v="4"/>
    <n v="5"/>
    <n v="25075"/>
    <n v="26607"/>
    <s v="Yes"/>
    <s v="Level 3"/>
    <d v="2026-05-06T00:00:00"/>
  </r>
  <r>
    <s v="C0065"/>
    <x v="1"/>
    <x v="8"/>
    <s v="High"/>
    <s v="Closed"/>
    <n v="13"/>
    <s v="2025-10-25"/>
    <x v="0"/>
    <s v="Student"/>
    <s v="Yes"/>
    <s v="Garbage Collection"/>
    <s v="Email"/>
    <s v="Garbage not collected for 3 days"/>
    <n v="4"/>
    <s v="No"/>
    <n v="3"/>
    <s v="Delayed"/>
    <s v="Off066"/>
    <n v="7"/>
    <n v="17"/>
    <n v="37560"/>
    <n v="38797"/>
    <s v="Yes"/>
    <s v="Level 3"/>
    <d v="2025-11-07T00:00:00"/>
  </r>
  <r>
    <s v="C0066"/>
    <x v="4"/>
    <x v="0"/>
    <s v="Low"/>
    <s v="Resolved"/>
    <n v="1"/>
    <s v="2025-03-22"/>
    <x v="4"/>
    <s v="Senior Citizen"/>
    <s v="No"/>
    <s v="General Complaint"/>
    <s v="Mobile App"/>
    <s v="General complaint reported"/>
    <n v="5"/>
    <s v="No"/>
    <n v="15"/>
    <s v="Within SLA"/>
    <s v="Off067"/>
    <n v="11"/>
    <n v="29"/>
    <n v="46376"/>
    <n v="44649"/>
    <s v="No"/>
    <s v="None"/>
    <d v="2025-03-23T00:00:00"/>
  </r>
  <r>
    <s v="C0067"/>
    <x v="3"/>
    <x v="7"/>
    <s v="Medium"/>
    <s v="Open"/>
    <n v="37"/>
    <s v="2026-06-19"/>
    <x v="4"/>
    <s v="Farmer"/>
    <s v="Yes"/>
    <s v="Public Transport Delay"/>
    <s v="Website"/>
    <s v="Bus arrival delay reported"/>
    <n v="1"/>
    <s v="Yes"/>
    <n v="7"/>
    <s v="Delayed"/>
    <s v="Off068"/>
    <n v="11"/>
    <n v="19"/>
    <n v="12172"/>
    <n v="12415"/>
    <s v="Yes"/>
    <s v="Level 2"/>
    <d v="2026-07-26T00:00:00"/>
  </r>
  <r>
    <s v="C0068"/>
    <x v="0"/>
    <x v="4"/>
    <s v="Low"/>
    <s v="Open"/>
    <n v="40"/>
    <s v="2025-04-10"/>
    <x v="4"/>
    <s v="Business Owner"/>
    <s v="Yes"/>
    <s v="Water Leakage"/>
    <s v="Helpline"/>
    <s v="Water pipe leakage near school"/>
    <n v="4"/>
    <s v="No"/>
    <n v="15"/>
    <s v="Delayed"/>
    <s v="Off069"/>
    <n v="15"/>
    <n v="38"/>
    <n v="24804"/>
    <n v="23923"/>
    <s v="Yes"/>
    <s v="Level 1"/>
    <d v="2025-05-20T00:00:00"/>
  </r>
  <r>
    <s v="C0069"/>
    <x v="3"/>
    <x v="3"/>
    <s v="High"/>
    <s v="Resolved"/>
    <n v="27"/>
    <s v="2025-09-14"/>
    <x v="1"/>
    <s v="Senior Citizen"/>
    <s v="Yes"/>
    <s v="Public Transport Delay"/>
    <s v="Walk in"/>
    <s v="Bus arrival delay reported"/>
    <n v="4"/>
    <s v="No"/>
    <n v="3"/>
    <s v="Delayed"/>
    <s v="Off070"/>
    <n v="2"/>
    <n v="36"/>
    <n v="24948"/>
    <n v="23910"/>
    <s v="Yes"/>
    <s v="Level 3"/>
    <d v="2025-10-11T00:00:00"/>
  </r>
  <r>
    <s v="C0070"/>
    <x v="0"/>
    <x v="1"/>
    <s v="Low"/>
    <s v="Open"/>
    <n v="43"/>
    <s v="2025-01-04"/>
    <x v="1"/>
    <s v="Business Owner"/>
    <s v="Yes"/>
    <s v="Water Leakage"/>
    <s v="Email"/>
    <s v="Water pipe leakage near school"/>
    <n v="2"/>
    <s v="Yes"/>
    <n v="15"/>
    <s v="Delayed"/>
    <s v="Off071"/>
    <n v="1"/>
    <n v="43"/>
    <n v="37613"/>
    <n v="39141"/>
    <s v="Yes"/>
    <s v="Level 1"/>
    <d v="2025-02-16T00:00:00"/>
  </r>
  <r>
    <s v="C0071"/>
    <x v="0"/>
    <x v="0"/>
    <s v="Medium"/>
    <s v="Closed"/>
    <n v="28"/>
    <s v="2026-04-24"/>
    <x v="4"/>
    <s v="Business Owner"/>
    <s v="Yes"/>
    <s v="Water Leakage"/>
    <s v="Mobile App"/>
    <s v="Water pipe leakage near school"/>
    <n v="1"/>
    <s v="Yes"/>
    <n v="7"/>
    <s v="Delayed"/>
    <s v="Off072"/>
    <n v="13"/>
    <n v="39"/>
    <n v="25543"/>
    <n v="26664"/>
    <s v="Yes"/>
    <s v="Level 2"/>
    <d v="2026-05-22T00:00:00"/>
  </r>
  <r>
    <s v="C0072"/>
    <x v="3"/>
    <x v="0"/>
    <s v="High"/>
    <s v="Resolved"/>
    <n v="2"/>
    <s v="2025-10-09"/>
    <x v="5"/>
    <s v="Senior Citizen"/>
    <s v="No"/>
    <s v="Public Transport Delay"/>
    <s v="Website"/>
    <s v="Bus arrival delay reported"/>
    <n v="3"/>
    <s v="No"/>
    <n v="3"/>
    <s v="Within SLA"/>
    <s v="Off073"/>
    <n v="3"/>
    <n v="11"/>
    <n v="44030"/>
    <n v="44870"/>
    <s v="No"/>
    <s v="None"/>
    <d v="2025-10-11T00:00:00"/>
  </r>
  <r>
    <s v="C0073"/>
    <x v="3"/>
    <x v="8"/>
    <s v="Low"/>
    <s v="Open"/>
    <n v="43"/>
    <s v="2025-09-30"/>
    <x v="3"/>
    <s v="Business Owner"/>
    <s v="Yes"/>
    <s v="Public Transport Delay"/>
    <s v="Helpline"/>
    <s v="Bus arrival delay reported"/>
    <n v="3"/>
    <s v="No"/>
    <n v="15"/>
    <s v="Delayed"/>
    <s v="Off074"/>
    <n v="11"/>
    <n v="50"/>
    <n v="18019"/>
    <n v="17216"/>
    <s v="Yes"/>
    <s v="Level 1"/>
    <d v="2025-11-12T00:00:00"/>
  </r>
  <r>
    <s v="C0074"/>
    <x v="0"/>
    <x v="4"/>
    <s v="Medium"/>
    <s v="Closed"/>
    <n v="2"/>
    <s v="2025-08-19"/>
    <x v="4"/>
    <s v="Farmer"/>
    <s v="No"/>
    <s v="Water Leakage"/>
    <s v="Walk in"/>
    <s v="Water pipe leakage near school"/>
    <n v="5"/>
    <s v="No"/>
    <n v="7"/>
    <s v="Within SLA"/>
    <s v="Off075"/>
    <n v="13"/>
    <n v="21"/>
    <n v="8615"/>
    <n v="9008"/>
    <s v="No"/>
    <s v="None"/>
    <d v="2025-08-21T00:00:00"/>
  </r>
  <r>
    <s v="C0075"/>
    <x v="0"/>
    <x v="3"/>
    <s v="Medium"/>
    <s v="Open"/>
    <n v="27"/>
    <s v="2025-06-21"/>
    <x v="5"/>
    <s v="General"/>
    <s v="Yes"/>
    <s v="Water Leakage"/>
    <s v="Email"/>
    <s v="Water pipe leakage near school"/>
    <n v="1"/>
    <s v="Yes"/>
    <n v="7"/>
    <s v="Delayed"/>
    <s v="Off076"/>
    <n v="3"/>
    <n v="19"/>
    <n v="43909"/>
    <n v="42775"/>
    <s v="Yes"/>
    <s v="Level 2"/>
    <d v="2025-07-18T00:00:00"/>
  </r>
  <r>
    <s v="C0076"/>
    <x v="0"/>
    <x v="3"/>
    <s v="Low"/>
    <s v="In Progress"/>
    <n v="41"/>
    <s v="2026-04-23"/>
    <x v="3"/>
    <s v="Farmer"/>
    <s v="Yes"/>
    <s v="Water Leakage"/>
    <s v="Mobile App"/>
    <s v="Water pipe leakage near school"/>
    <n v="1"/>
    <s v="Yes"/>
    <n v="15"/>
    <s v="Delayed"/>
    <s v="Off077"/>
    <n v="6"/>
    <n v="27"/>
    <n v="36219"/>
    <n v="34288"/>
    <s v="Yes"/>
    <s v="Level 1"/>
    <d v="2026-06-03T00:00:00"/>
  </r>
  <r>
    <s v="C0077"/>
    <x v="3"/>
    <x v="7"/>
    <s v="Medium"/>
    <s v="In Progress"/>
    <n v="13"/>
    <s v="2025-03-08"/>
    <x v="3"/>
    <s v="General"/>
    <s v="Yes"/>
    <s v="Public Transport Delay"/>
    <s v="Website"/>
    <s v="Bus arrival delay reported"/>
    <n v="1"/>
    <s v="Yes"/>
    <n v="7"/>
    <s v="Delayed"/>
    <s v="Off078"/>
    <n v="3"/>
    <n v="31"/>
    <n v="40130"/>
    <n v="39884"/>
    <s v="Yes"/>
    <s v="Level 2"/>
    <d v="2025-03-21T00:00:00"/>
  </r>
  <r>
    <s v="C0078"/>
    <x v="3"/>
    <x v="6"/>
    <s v="High"/>
    <s v="Resolved"/>
    <n v="6"/>
    <s v="2026-04-09"/>
    <x v="5"/>
    <s v="Senior Citizen"/>
    <s v="No"/>
    <s v="Public Transport Delay"/>
    <s v="Helpline"/>
    <s v="Bus arrival delay reported"/>
    <n v="2"/>
    <s v="Yes"/>
    <n v="3"/>
    <s v="Delayed"/>
    <s v="Off079"/>
    <n v="3"/>
    <n v="48"/>
    <n v="43191"/>
    <n v="44797"/>
    <s v="Yes"/>
    <s v="Level 3"/>
    <d v="2026-04-15T00:00:00"/>
  </r>
  <r>
    <s v="C0079"/>
    <x v="1"/>
    <x v="0"/>
    <s v="Low"/>
    <s v="In Progress"/>
    <n v="35"/>
    <s v="2026-01-22"/>
    <x v="4"/>
    <s v="Farmer"/>
    <s v="Yes"/>
    <s v="Garbage Collection"/>
    <s v="Walk in"/>
    <s v="Garbage not collected for 3 days"/>
    <n v="2"/>
    <s v="Yes"/>
    <n v="15"/>
    <s v="Delayed"/>
    <s v="Off080"/>
    <n v="9"/>
    <n v="18"/>
    <n v="23334"/>
    <n v="21789"/>
    <s v="Yes"/>
    <s v="Level 1"/>
    <d v="2026-02-26T00:00:00"/>
  </r>
  <r>
    <s v="C0080"/>
    <x v="0"/>
    <x v="2"/>
    <s v="Low"/>
    <s v="Open"/>
    <n v="37"/>
    <s v="2025-03-09"/>
    <x v="0"/>
    <s v="General"/>
    <s v="Yes"/>
    <s v="Water Leakage"/>
    <s v="Email"/>
    <s v="Water pipe leakage near school"/>
    <n v="2"/>
    <s v="Yes"/>
    <n v="15"/>
    <s v="Delayed"/>
    <s v="Off081"/>
    <n v="1"/>
    <n v="13"/>
    <n v="19615"/>
    <n v="20560"/>
    <s v="Yes"/>
    <s v="Level 1"/>
    <d v="2025-04-15T00:00:00"/>
  </r>
  <r>
    <s v="C0081"/>
    <x v="4"/>
    <x v="3"/>
    <s v="High"/>
    <s v="Open"/>
    <n v="43"/>
    <s v="2025-04-13"/>
    <x v="2"/>
    <s v="General"/>
    <s v="Yes"/>
    <s v="General Complaint"/>
    <s v="Mobile App"/>
    <s v="General complaint reported"/>
    <n v="2"/>
    <s v="Yes"/>
    <n v="3"/>
    <s v="Delayed"/>
    <s v="Off082"/>
    <n v="3"/>
    <n v="44"/>
    <n v="3739"/>
    <n v="4064"/>
    <s v="Yes"/>
    <s v="Level 3"/>
    <d v="2025-05-26T00:00:00"/>
  </r>
  <r>
    <s v="C0082"/>
    <x v="3"/>
    <x v="0"/>
    <s v="High"/>
    <s v="Closed"/>
    <n v="4"/>
    <s v="2025-08-24"/>
    <x v="5"/>
    <s v="Farmer"/>
    <s v="No"/>
    <s v="Public Transport Delay"/>
    <s v="Website"/>
    <s v="Bus arrival delay reported"/>
    <n v="5"/>
    <s v="No"/>
    <n v="3"/>
    <s v="Delayed"/>
    <s v="Off083"/>
    <n v="14"/>
    <n v="11"/>
    <n v="42279"/>
    <n v="41035"/>
    <s v="Yes"/>
    <s v="Level 3"/>
    <d v="2025-08-28T00:00:00"/>
  </r>
  <r>
    <s v="C0083"/>
    <x v="4"/>
    <x v="0"/>
    <s v="Medium"/>
    <s v="In Progress"/>
    <n v="5"/>
    <s v="2025-05-07"/>
    <x v="4"/>
    <s v="Farmer"/>
    <s v="No"/>
    <s v="General Complaint"/>
    <s v="Helpline"/>
    <s v="General complaint reported"/>
    <n v="2"/>
    <s v="Yes"/>
    <n v="7"/>
    <s v="Within SLA"/>
    <s v="Off084"/>
    <n v="11"/>
    <n v="9"/>
    <n v="44861"/>
    <n v="42862"/>
    <s v="No"/>
    <s v="None"/>
    <d v="2025-05-12T00:00:00"/>
  </r>
  <r>
    <s v="C0084"/>
    <x v="4"/>
    <x v="6"/>
    <s v="Low"/>
    <s v="Resolved"/>
    <n v="22"/>
    <s v="2025-09-05"/>
    <x v="4"/>
    <s v="Farmer"/>
    <s v="Yes"/>
    <s v="General Complaint"/>
    <s v="Walk in"/>
    <s v="General complaint reported"/>
    <n v="2"/>
    <s v="Yes"/>
    <n v="15"/>
    <s v="Delayed"/>
    <s v="Off085"/>
    <n v="2"/>
    <n v="38"/>
    <n v="35128"/>
    <n v="33894"/>
    <s v="Yes"/>
    <s v="Level 1"/>
    <d v="2025-09-27T00:00:00"/>
  </r>
  <r>
    <s v="C0085"/>
    <x v="2"/>
    <x v="8"/>
    <s v="Medium"/>
    <s v="Resolved"/>
    <n v="21"/>
    <s v="2025-02-01"/>
    <x v="4"/>
    <s v="Business Owner"/>
    <s v="Yes"/>
    <s v="Road Damage"/>
    <s v="Email"/>
    <s v="Road damaged due to heavy rain"/>
    <n v="4"/>
    <s v="No"/>
    <n v="7"/>
    <s v="Delayed"/>
    <s v="Off086"/>
    <n v="15"/>
    <n v="10"/>
    <n v="39484"/>
    <n v="40624"/>
    <s v="Yes"/>
    <s v="Level 2"/>
    <d v="2025-02-22T00:00:00"/>
  </r>
  <r>
    <s v="C0086"/>
    <x v="1"/>
    <x v="0"/>
    <s v="Medium"/>
    <s v="In Progress"/>
    <n v="37"/>
    <s v="2025-03-09"/>
    <x v="0"/>
    <s v="General"/>
    <s v="Yes"/>
    <s v="Garbage Collection"/>
    <s v="Mobile App"/>
    <s v="Garbage not collected for 3 days"/>
    <n v="4"/>
    <s v="No"/>
    <n v="7"/>
    <s v="Delayed"/>
    <s v="Off087"/>
    <n v="6"/>
    <n v="15"/>
    <n v="11929"/>
    <n v="10510"/>
    <s v="Yes"/>
    <s v="Level 2"/>
    <d v="2025-04-15T00:00:00"/>
  </r>
  <r>
    <s v="C0087"/>
    <x v="4"/>
    <x v="0"/>
    <s v="Medium"/>
    <s v="In Progress"/>
    <n v="14"/>
    <s v="2025-12-27"/>
    <x v="1"/>
    <s v="Senior Citizen"/>
    <s v="Yes"/>
    <s v="General Complaint"/>
    <s v="Website"/>
    <s v="General complaint reported"/>
    <n v="3"/>
    <s v="No"/>
    <n v="7"/>
    <s v="Delayed"/>
    <s v="Off088"/>
    <n v="6"/>
    <n v="39"/>
    <n v="4961"/>
    <n v="6779"/>
    <s v="Yes"/>
    <s v="Level 2"/>
    <d v="2026-01-10T00:00:00"/>
  </r>
  <r>
    <s v="C0088"/>
    <x v="5"/>
    <x v="9"/>
    <s v="High"/>
    <s v="Open"/>
    <n v="22"/>
    <s v="2026-02-26"/>
    <x v="1"/>
    <s v="Farmer"/>
    <s v="Yes"/>
    <s v="General Complaint"/>
    <s v="Helpline"/>
    <s v="General complaint reported"/>
    <n v="2"/>
    <s v="Yes"/>
    <n v="3"/>
    <s v="Delayed"/>
    <s v="Off089"/>
    <n v="8"/>
    <n v="5"/>
    <n v="12409"/>
    <n v="13672"/>
    <s v="Yes"/>
    <s v="Level 3"/>
    <d v="2026-03-20T00:00:00"/>
  </r>
  <r>
    <s v="C0089"/>
    <x v="4"/>
    <x v="7"/>
    <s v="Low"/>
    <s v="Resolved"/>
    <n v="17"/>
    <s v="2026-04-12"/>
    <x v="1"/>
    <s v="General"/>
    <s v="Yes"/>
    <s v="General Complaint"/>
    <s v="Walk in"/>
    <s v="General complaint reported"/>
    <n v="1"/>
    <s v="Yes"/>
    <n v="15"/>
    <s v="Delayed"/>
    <s v="Off090"/>
    <n v="6"/>
    <n v="40"/>
    <n v="20545"/>
    <n v="20480"/>
    <s v="Yes"/>
    <s v="Level 1"/>
    <d v="2026-04-29T00:00:00"/>
  </r>
  <r>
    <s v="C0090"/>
    <x v="3"/>
    <x v="8"/>
    <s v="High"/>
    <s v="Closed"/>
    <n v="16"/>
    <s v="2025-02-26"/>
    <x v="1"/>
    <s v="Student"/>
    <s v="Yes"/>
    <s v="Public Transport Delay"/>
    <s v="Email"/>
    <s v="Bus arrival delay reported"/>
    <n v="3"/>
    <s v="No"/>
    <n v="3"/>
    <s v="Delayed"/>
    <s v="Off091"/>
    <n v="4"/>
    <n v="12"/>
    <n v="48601"/>
    <n v="49660"/>
    <s v="Yes"/>
    <s v="Level 3"/>
    <d v="2025-03-14T00:00:00"/>
  </r>
  <r>
    <s v="C0091"/>
    <x v="2"/>
    <x v="7"/>
    <s v="Medium"/>
    <s v="Open"/>
    <n v="3"/>
    <s v="2026-02-18"/>
    <x v="3"/>
    <s v="Student"/>
    <s v="No"/>
    <s v="Road Damage"/>
    <s v="Mobile App"/>
    <s v="Road damaged due to heavy rain"/>
    <n v="4"/>
    <s v="No"/>
    <n v="7"/>
    <s v="Within SLA"/>
    <s v="Off092"/>
    <n v="1"/>
    <n v="42"/>
    <n v="46988"/>
    <n v="45053"/>
    <s v="No"/>
    <s v="None"/>
    <d v="2026-02-21T00:00:00"/>
  </r>
  <r>
    <s v="C0092"/>
    <x v="3"/>
    <x v="2"/>
    <s v="Low"/>
    <s v="Resolved"/>
    <n v="17"/>
    <s v="2025-04-06"/>
    <x v="4"/>
    <s v="Student"/>
    <s v="Yes"/>
    <s v="Public Transport Delay"/>
    <s v="Website"/>
    <s v="Bus arrival delay reported"/>
    <n v="3"/>
    <s v="No"/>
    <n v="15"/>
    <s v="Delayed"/>
    <s v="Off093"/>
    <n v="9"/>
    <n v="6"/>
    <n v="23430"/>
    <n v="22218"/>
    <s v="Yes"/>
    <s v="Level 1"/>
    <d v="2025-04-23T00:00:00"/>
  </r>
  <r>
    <s v="C0093"/>
    <x v="1"/>
    <x v="5"/>
    <s v="High"/>
    <s v="Closed"/>
    <n v="10"/>
    <s v="2026-06-20"/>
    <x v="5"/>
    <s v="Farmer"/>
    <s v="Yes"/>
    <s v="Garbage Collection"/>
    <s v="Helpline"/>
    <s v="Garbage not collected for 3 days"/>
    <n v="2"/>
    <s v="Yes"/>
    <n v="3"/>
    <s v="Delayed"/>
    <s v="Off094"/>
    <n v="15"/>
    <n v="38"/>
    <n v="38645"/>
    <n v="39110"/>
    <s v="Yes"/>
    <s v="Level 3"/>
    <d v="2026-06-30T00:00:00"/>
  </r>
  <r>
    <s v="C0094"/>
    <x v="1"/>
    <x v="9"/>
    <s v="Medium"/>
    <s v="In Progress"/>
    <n v="42"/>
    <s v="2025-08-29"/>
    <x v="0"/>
    <s v="General"/>
    <s v="Yes"/>
    <s v="Garbage Collection"/>
    <s v="Walk in"/>
    <s v="Garbage not collected for 3 days"/>
    <n v="5"/>
    <s v="No"/>
    <n v="7"/>
    <s v="Delayed"/>
    <s v="Off095"/>
    <n v="15"/>
    <n v="25"/>
    <n v="19455"/>
    <n v="20482"/>
    <s v="Yes"/>
    <s v="Level 2"/>
    <d v="2025-10-10T00:00:00"/>
  </r>
  <r>
    <s v="C0095"/>
    <x v="1"/>
    <x v="6"/>
    <s v="Medium"/>
    <s v="Closed"/>
    <n v="27"/>
    <s v="2025-06-25"/>
    <x v="2"/>
    <s v="Student"/>
    <s v="Yes"/>
    <s v="Garbage Collection"/>
    <s v="Email"/>
    <s v="Garbage not collected for 3 days"/>
    <n v="1"/>
    <s v="Yes"/>
    <n v="7"/>
    <s v="Delayed"/>
    <s v="Off096"/>
    <n v="3"/>
    <n v="34"/>
    <n v="37374"/>
    <n v="35559"/>
    <s v="Yes"/>
    <s v="Level 2"/>
    <d v="2025-07-22T00:00:00"/>
  </r>
  <r>
    <s v="C0096"/>
    <x v="2"/>
    <x v="0"/>
    <s v="High"/>
    <s v="In Progress"/>
    <n v="35"/>
    <s v="2025-05-17"/>
    <x v="2"/>
    <s v="Student"/>
    <s v="Yes"/>
    <s v="Road Damage"/>
    <s v="Mobile App"/>
    <s v="Road damaged due to heavy rain"/>
    <n v="1"/>
    <s v="Yes"/>
    <n v="3"/>
    <s v="Delayed"/>
    <s v="Off097"/>
    <n v="4"/>
    <n v="37"/>
    <n v="48792"/>
    <n v="48416"/>
    <s v="Yes"/>
    <s v="Level 3"/>
    <d v="2025-06-21T00:00:00"/>
  </r>
  <r>
    <s v="C0097"/>
    <x v="0"/>
    <x v="1"/>
    <s v="Medium"/>
    <s v="Resolved"/>
    <n v="27"/>
    <s v="2025-12-02"/>
    <x v="3"/>
    <s v="Student"/>
    <s v="Yes"/>
    <s v="Water Leakage"/>
    <s v="Website"/>
    <s v="Water pipe leakage near school"/>
    <n v="4"/>
    <s v="No"/>
    <n v="7"/>
    <s v="Delayed"/>
    <s v="Off098"/>
    <n v="15"/>
    <n v="44"/>
    <n v="16899"/>
    <n v="15289"/>
    <s v="Yes"/>
    <s v="Level 2"/>
    <d v="2025-12-29T00:00:00"/>
  </r>
  <r>
    <s v="C0098"/>
    <x v="1"/>
    <x v="5"/>
    <s v="Low"/>
    <s v="Open"/>
    <n v="23"/>
    <s v="2025-03-21"/>
    <x v="4"/>
    <s v="General"/>
    <s v="Yes"/>
    <s v="Garbage Collection"/>
    <s v="Helpline"/>
    <s v="Garbage not collected for 3 days"/>
    <n v="4"/>
    <s v="No"/>
    <n v="15"/>
    <s v="Delayed"/>
    <s v="Off099"/>
    <n v="15"/>
    <n v="50"/>
    <n v="14741"/>
    <n v="15208"/>
    <s v="Yes"/>
    <s v="Level 1"/>
    <d v="2025-04-13T00:00:00"/>
  </r>
  <r>
    <s v="C0099"/>
    <x v="5"/>
    <x v="9"/>
    <s v="Low"/>
    <s v="Open"/>
    <n v="1"/>
    <s v="2025-05-06"/>
    <x v="1"/>
    <s v="General"/>
    <s v="No"/>
    <s v="General Complaint"/>
    <s v="Walk in"/>
    <s v="General complaint reported"/>
    <n v="1"/>
    <s v="Yes"/>
    <n v="15"/>
    <s v="Within SLA"/>
    <s v="Off100"/>
    <n v="7"/>
    <n v="23"/>
    <n v="26854"/>
    <n v="26811"/>
    <s v="No"/>
    <s v="None"/>
    <d v="2025-05-07T00:00:00"/>
  </r>
  <r>
    <s v="C0100"/>
    <x v="3"/>
    <x v="3"/>
    <s v="Medium"/>
    <s v="Open"/>
    <n v="33"/>
    <s v="2025-06-15"/>
    <x v="4"/>
    <s v="Business Owner"/>
    <s v="Yes"/>
    <s v="Public Transport Delay"/>
    <s v="Email"/>
    <s v="Bus arrival delay reported"/>
    <n v="3"/>
    <s v="No"/>
    <n v="7"/>
    <s v="Delayed"/>
    <s v="Off101"/>
    <n v="1"/>
    <n v="12"/>
    <n v="24710"/>
    <n v="25891"/>
    <s v="Yes"/>
    <s v="Level 2"/>
    <d v="2025-07-18T00:00:00"/>
  </r>
  <r>
    <s v="C0101"/>
    <x v="3"/>
    <x v="7"/>
    <s v="Low"/>
    <s v="Resolved"/>
    <n v="14"/>
    <s v="2026-05-17"/>
    <x v="2"/>
    <s v="Farmer"/>
    <s v="Yes"/>
    <s v="Public Transport Delay"/>
    <s v="Mobile App"/>
    <s v="Bus arrival delay reported"/>
    <n v="3"/>
    <s v="No"/>
    <n v="15"/>
    <s v="Within SLA"/>
    <s v="Off102"/>
    <n v="11"/>
    <n v="10"/>
    <n v="41638"/>
    <n v="41452"/>
    <s v="No"/>
    <s v="None"/>
    <d v="2026-05-31T00:00:00"/>
  </r>
  <r>
    <s v="C0102"/>
    <x v="0"/>
    <x v="1"/>
    <s v="Low"/>
    <s v="In Progress"/>
    <n v="45"/>
    <s v="2025-03-29"/>
    <x v="0"/>
    <s v="Senior Citizen"/>
    <s v="Yes"/>
    <s v="Water Leakage"/>
    <s v="Website"/>
    <s v="Water pipe leakage near school"/>
    <n v="4"/>
    <s v="No"/>
    <n v="15"/>
    <s v="Delayed"/>
    <s v="Off103"/>
    <n v="14"/>
    <n v="14"/>
    <n v="41249"/>
    <n v="40370"/>
    <s v="Yes"/>
    <s v="Level 1"/>
    <d v="2025-05-13T00:00:00"/>
  </r>
  <r>
    <s v="C0103"/>
    <x v="3"/>
    <x v="6"/>
    <s v="Low"/>
    <s v="Closed"/>
    <n v="19"/>
    <s v="2025-11-21"/>
    <x v="4"/>
    <s v="Farmer"/>
    <s v="Yes"/>
    <s v="Public Transport Delay"/>
    <s v="Helpline"/>
    <s v="Bus arrival delay reported"/>
    <n v="4"/>
    <s v="No"/>
    <n v="15"/>
    <s v="Delayed"/>
    <s v="Off104"/>
    <n v="2"/>
    <n v="38"/>
    <n v="5138"/>
    <n v="6847"/>
    <s v="Yes"/>
    <s v="Level 1"/>
    <d v="2025-12-10T00:00:00"/>
  </r>
  <r>
    <s v="C0104"/>
    <x v="2"/>
    <x v="6"/>
    <s v="High"/>
    <s v="Closed"/>
    <n v="12"/>
    <s v="2026-05-23"/>
    <x v="4"/>
    <s v="Business Owner"/>
    <s v="Yes"/>
    <s v="Road Damage"/>
    <s v="Walk in"/>
    <s v="Road damaged due to heavy rain"/>
    <n v="3"/>
    <s v="No"/>
    <n v="3"/>
    <s v="Delayed"/>
    <s v="Off105"/>
    <n v="9"/>
    <n v="28"/>
    <n v="31596"/>
    <n v="30272"/>
    <s v="Yes"/>
    <s v="Level 3"/>
    <d v="2026-06-04T00:00:00"/>
  </r>
  <r>
    <s v="C0105"/>
    <x v="3"/>
    <x v="3"/>
    <s v="Medium"/>
    <s v="Resolved"/>
    <n v="10"/>
    <s v="2026-01-15"/>
    <x v="0"/>
    <s v="Business Owner"/>
    <s v="Yes"/>
    <s v="Public Transport Delay"/>
    <s v="Email"/>
    <s v="Bus arrival delay reported"/>
    <n v="3"/>
    <s v="No"/>
    <n v="7"/>
    <s v="Delayed"/>
    <s v="Off106"/>
    <n v="1"/>
    <n v="35"/>
    <n v="30272"/>
    <n v="28797"/>
    <s v="Yes"/>
    <s v="Level 2"/>
    <d v="2026-01-25T00:00:00"/>
  </r>
  <r>
    <s v="C0106"/>
    <x v="2"/>
    <x v="7"/>
    <s v="High"/>
    <s v="Resolved"/>
    <n v="23"/>
    <s v="2026-04-18"/>
    <x v="0"/>
    <s v="Business Owner"/>
    <s v="Yes"/>
    <s v="Road Damage"/>
    <s v="Mobile App"/>
    <s v="Road damaged due to heavy rain"/>
    <n v="1"/>
    <s v="Yes"/>
    <n v="3"/>
    <s v="Delayed"/>
    <s v="Off107"/>
    <n v="12"/>
    <n v="26"/>
    <n v="15133"/>
    <n v="13569"/>
    <s v="Yes"/>
    <s v="Level 3"/>
    <d v="2026-05-11T00:00:00"/>
  </r>
  <r>
    <s v="C0107"/>
    <x v="1"/>
    <x v="8"/>
    <s v="Low"/>
    <s v="In Progress"/>
    <n v="39"/>
    <s v="2026-04-21"/>
    <x v="0"/>
    <s v="Farmer"/>
    <s v="Yes"/>
    <s v="Garbage Collection"/>
    <s v="Website"/>
    <s v="Garbage not collected for 3 days"/>
    <n v="2"/>
    <s v="Yes"/>
    <n v="15"/>
    <s v="Delayed"/>
    <s v="Off108"/>
    <n v="2"/>
    <n v="5"/>
    <n v="29474"/>
    <n v="30020"/>
    <s v="Yes"/>
    <s v="Level 1"/>
    <d v="2026-05-30T00:00:00"/>
  </r>
  <r>
    <s v="C0108"/>
    <x v="3"/>
    <x v="7"/>
    <s v="Low"/>
    <s v="Resolved"/>
    <n v="14"/>
    <s v="2026-03-01"/>
    <x v="1"/>
    <s v="Business Owner"/>
    <s v="Yes"/>
    <s v="Public Transport Delay"/>
    <s v="Helpline"/>
    <s v="Bus arrival delay reported"/>
    <n v="2"/>
    <s v="Yes"/>
    <n v="15"/>
    <s v="Within SLA"/>
    <s v="Off109"/>
    <n v="14"/>
    <n v="36"/>
    <n v="38654"/>
    <n v="37160"/>
    <s v="No"/>
    <s v="None"/>
    <d v="2026-03-15T00:00:00"/>
  </r>
  <r>
    <s v="C0109"/>
    <x v="5"/>
    <x v="1"/>
    <s v="Low"/>
    <s v="In Progress"/>
    <n v="5"/>
    <s v="2025-08-31"/>
    <x v="0"/>
    <s v="Senior Citizen"/>
    <s v="No"/>
    <s v="General Complaint"/>
    <s v="Walk in"/>
    <s v="General complaint reported"/>
    <n v="5"/>
    <s v="No"/>
    <n v="15"/>
    <s v="Within SLA"/>
    <s v="Off110"/>
    <n v="15"/>
    <n v="11"/>
    <n v="34944"/>
    <n v="36752"/>
    <s v="No"/>
    <s v="None"/>
    <d v="2025-09-05T00:00:00"/>
  </r>
  <r>
    <s v="C0110"/>
    <x v="5"/>
    <x v="6"/>
    <s v="Low"/>
    <s v="In Progress"/>
    <n v="9"/>
    <s v="2025-11-17"/>
    <x v="4"/>
    <s v="General"/>
    <s v="Yes"/>
    <s v="General Complaint"/>
    <s v="Email"/>
    <s v="General complaint reported"/>
    <n v="4"/>
    <s v="No"/>
    <n v="15"/>
    <s v="Within SLA"/>
    <s v="Off111"/>
    <n v="10"/>
    <n v="16"/>
    <n v="20985"/>
    <n v="19634"/>
    <s v="No"/>
    <s v="None"/>
    <d v="2025-11-26T00:00:00"/>
  </r>
  <r>
    <s v="C0111"/>
    <x v="1"/>
    <x v="0"/>
    <s v="Medium"/>
    <s v="Open"/>
    <n v="42"/>
    <s v="2025-05-06"/>
    <x v="4"/>
    <s v="Business Owner"/>
    <s v="Yes"/>
    <s v="Garbage Collection"/>
    <s v="Mobile App"/>
    <s v="Garbage not collected for 3 days"/>
    <n v="4"/>
    <s v="No"/>
    <n v="7"/>
    <s v="Delayed"/>
    <s v="Off112"/>
    <n v="11"/>
    <n v="44"/>
    <n v="38997"/>
    <n v="39404"/>
    <s v="Yes"/>
    <s v="Level 2"/>
    <d v="2025-06-17T00:00:00"/>
  </r>
  <r>
    <s v="C0112"/>
    <x v="0"/>
    <x v="8"/>
    <s v="Low"/>
    <s v="Open"/>
    <n v="12"/>
    <s v="2025-02-27"/>
    <x v="1"/>
    <s v="Business Owner"/>
    <s v="Yes"/>
    <s v="Water Leakage"/>
    <s v="Website"/>
    <s v="Water pipe leakage near school"/>
    <n v="2"/>
    <s v="Yes"/>
    <n v="15"/>
    <s v="Within SLA"/>
    <s v="Off113"/>
    <n v="6"/>
    <n v="8"/>
    <n v="48044"/>
    <n v="46184"/>
    <s v="No"/>
    <s v="None"/>
    <d v="2025-03-11T00:00:00"/>
  </r>
  <r>
    <s v="C0113"/>
    <x v="0"/>
    <x v="2"/>
    <s v="Medium"/>
    <s v="Resolved"/>
    <n v="6"/>
    <s v="2026-01-11"/>
    <x v="2"/>
    <s v="General"/>
    <s v="No"/>
    <s v="Water Leakage"/>
    <s v="Helpline"/>
    <s v="Water pipe leakage near school"/>
    <n v="4"/>
    <s v="No"/>
    <n v="7"/>
    <s v="Within SLA"/>
    <s v="Off114"/>
    <n v="7"/>
    <n v="7"/>
    <n v="20102"/>
    <n v="19989"/>
    <s v="No"/>
    <s v="None"/>
    <d v="2026-01-17T00:00:00"/>
  </r>
  <r>
    <s v="C0114"/>
    <x v="1"/>
    <x v="1"/>
    <s v="Low"/>
    <s v="In Progress"/>
    <n v="6"/>
    <s v="2026-05-02"/>
    <x v="3"/>
    <s v="Business Owner"/>
    <s v="No"/>
    <s v="Garbage Collection"/>
    <s v="Walk in"/>
    <s v="Garbage not collected for 3 days"/>
    <n v="3"/>
    <s v="No"/>
    <n v="15"/>
    <s v="Within SLA"/>
    <s v="Off115"/>
    <n v="13"/>
    <n v="49"/>
    <n v="29292"/>
    <n v="28433"/>
    <s v="No"/>
    <s v="None"/>
    <d v="2026-05-08T00:00:00"/>
  </r>
  <r>
    <s v="C0115"/>
    <x v="0"/>
    <x v="4"/>
    <s v="Medium"/>
    <s v="In Progress"/>
    <n v="17"/>
    <s v="2025-12-20"/>
    <x v="1"/>
    <s v="Student"/>
    <s v="Yes"/>
    <s v="Water Leakage"/>
    <s v="Email"/>
    <s v="Water pipe leakage near school"/>
    <n v="3"/>
    <s v="No"/>
    <n v="7"/>
    <s v="Delayed"/>
    <s v="Off116"/>
    <n v="14"/>
    <n v="48"/>
    <n v="26877"/>
    <n v="26292"/>
    <s v="Yes"/>
    <s v="Level 2"/>
    <d v="2026-01-06T00:00:00"/>
  </r>
  <r>
    <s v="C0116"/>
    <x v="1"/>
    <x v="5"/>
    <s v="Low"/>
    <s v="Open"/>
    <n v="22"/>
    <s v="2026-01-31"/>
    <x v="5"/>
    <s v="Business Owner"/>
    <s v="Yes"/>
    <s v="Garbage Collection"/>
    <s v="Mobile App"/>
    <s v="Garbage not collected for 3 days"/>
    <n v="2"/>
    <s v="Yes"/>
    <n v="15"/>
    <s v="Delayed"/>
    <s v="Off117"/>
    <n v="13"/>
    <n v="37"/>
    <n v="16522"/>
    <n v="16553"/>
    <s v="Yes"/>
    <s v="Level 1"/>
    <d v="2026-02-22T00:00:00"/>
  </r>
  <r>
    <s v="C0117"/>
    <x v="3"/>
    <x v="3"/>
    <s v="Medium"/>
    <s v="Open"/>
    <n v="16"/>
    <s v="2026-01-24"/>
    <x v="0"/>
    <s v="Student"/>
    <s v="Yes"/>
    <s v="Public Transport Delay"/>
    <s v="Website"/>
    <s v="Bus arrival delay reported"/>
    <n v="5"/>
    <s v="No"/>
    <n v="7"/>
    <s v="Delayed"/>
    <s v="Off118"/>
    <n v="10"/>
    <n v="27"/>
    <n v="11706"/>
    <n v="11135"/>
    <s v="Yes"/>
    <s v="Level 2"/>
    <d v="2026-02-09T00:00:00"/>
  </r>
  <r>
    <s v="C0118"/>
    <x v="5"/>
    <x v="8"/>
    <s v="Low"/>
    <s v="Closed"/>
    <n v="23"/>
    <s v="2026-01-20"/>
    <x v="4"/>
    <s v="Senior Citizen"/>
    <s v="Yes"/>
    <s v="General Complaint"/>
    <s v="Helpline"/>
    <s v="General complaint reported"/>
    <n v="2"/>
    <s v="Yes"/>
    <n v="15"/>
    <s v="Delayed"/>
    <s v="Off119"/>
    <n v="7"/>
    <n v="37"/>
    <n v="29212"/>
    <n v="29020"/>
    <s v="Yes"/>
    <s v="Level 1"/>
    <d v="2026-02-12T00:00:00"/>
  </r>
  <r>
    <s v="C0119"/>
    <x v="0"/>
    <x v="6"/>
    <s v="Medium"/>
    <s v="Closed"/>
    <n v="13"/>
    <s v="2025-04-25"/>
    <x v="4"/>
    <s v="General"/>
    <s v="Yes"/>
    <s v="Water Leakage"/>
    <s v="Walk in"/>
    <s v="Water pipe leakage near school"/>
    <n v="3"/>
    <s v="No"/>
    <n v="7"/>
    <s v="Delayed"/>
    <s v="Off120"/>
    <n v="1"/>
    <n v="43"/>
    <n v="47816"/>
    <n v="47949"/>
    <s v="Yes"/>
    <s v="Level 2"/>
    <d v="2025-05-08T00:00:00"/>
  </r>
  <r>
    <s v="C0120"/>
    <x v="2"/>
    <x v="0"/>
    <s v="Low"/>
    <s v="Closed"/>
    <n v="6"/>
    <s v="2025-07-04"/>
    <x v="4"/>
    <s v="Senior Citizen"/>
    <s v="No"/>
    <s v="Road Damage"/>
    <s v="Email"/>
    <s v="Road damaged due to heavy rain"/>
    <n v="1"/>
    <s v="Yes"/>
    <n v="15"/>
    <s v="Within SLA"/>
    <s v="Off121"/>
    <n v="8"/>
    <n v="17"/>
    <n v="46699"/>
    <n v="47595"/>
    <s v="No"/>
    <s v="None"/>
    <d v="2025-07-10T00:00:00"/>
  </r>
  <r>
    <s v="C0121"/>
    <x v="0"/>
    <x v="0"/>
    <s v="Medium"/>
    <s v="Resolved"/>
    <n v="28"/>
    <s v="2025-11-17"/>
    <x v="4"/>
    <s v="Student"/>
    <s v="Yes"/>
    <s v="Water Leakage"/>
    <s v="Mobile App"/>
    <s v="Water pipe leakage near school"/>
    <n v="5"/>
    <s v="No"/>
    <n v="7"/>
    <s v="Delayed"/>
    <s v="Off122"/>
    <n v="7"/>
    <n v="21"/>
    <n v="17990"/>
    <n v="16246"/>
    <s v="Yes"/>
    <s v="Level 2"/>
    <d v="2025-12-15T00:00:00"/>
  </r>
  <r>
    <s v="C0122"/>
    <x v="1"/>
    <x v="3"/>
    <s v="High"/>
    <s v="Open"/>
    <n v="13"/>
    <s v="2025-07-17"/>
    <x v="3"/>
    <s v="General"/>
    <s v="Yes"/>
    <s v="Garbage Collection"/>
    <s v="Website"/>
    <s v="Garbage not collected for 3 days"/>
    <n v="3"/>
    <s v="No"/>
    <n v="3"/>
    <s v="Delayed"/>
    <s v="Off123"/>
    <n v="3"/>
    <n v="24"/>
    <n v="35717"/>
    <n v="34807"/>
    <s v="Yes"/>
    <s v="Level 3"/>
    <d v="2025-07-30T00:00:00"/>
  </r>
  <r>
    <s v="C0123"/>
    <x v="1"/>
    <x v="5"/>
    <s v="Medium"/>
    <s v="Open"/>
    <n v="7"/>
    <s v="2026-03-24"/>
    <x v="4"/>
    <s v="Business Owner"/>
    <s v="No"/>
    <s v="Garbage Collection"/>
    <s v="Helpline"/>
    <s v="Garbage not collected for 3 days"/>
    <n v="3"/>
    <s v="No"/>
    <n v="7"/>
    <s v="Within SLA"/>
    <s v="Off124"/>
    <n v="7"/>
    <n v="21"/>
    <n v="3721"/>
    <n v="5056"/>
    <s v="No"/>
    <s v="None"/>
    <d v="2026-03-31T00:00:00"/>
  </r>
  <r>
    <s v="C0124"/>
    <x v="1"/>
    <x v="0"/>
    <s v="Medium"/>
    <s v="In Progress"/>
    <n v="8"/>
    <s v="2025-10-02"/>
    <x v="5"/>
    <s v="Farmer"/>
    <s v="Yes"/>
    <s v="Garbage Collection"/>
    <s v="Walk in"/>
    <s v="Garbage not collected for 3 days"/>
    <n v="1"/>
    <s v="Yes"/>
    <n v="7"/>
    <s v="Delayed"/>
    <s v="Off125"/>
    <n v="14"/>
    <n v="50"/>
    <n v="6644"/>
    <n v="7697"/>
    <s v="Yes"/>
    <s v="Level 2"/>
    <d v="2025-10-10T00:00:00"/>
  </r>
  <r>
    <s v="C0125"/>
    <x v="5"/>
    <x v="2"/>
    <s v="Medium"/>
    <s v="Resolved"/>
    <n v="30"/>
    <s v="2026-04-01"/>
    <x v="1"/>
    <s v="Farmer"/>
    <s v="Yes"/>
    <s v="General Complaint"/>
    <s v="Email"/>
    <s v="General complaint reported"/>
    <n v="5"/>
    <s v="No"/>
    <n v="7"/>
    <s v="Delayed"/>
    <s v="Off126"/>
    <n v="8"/>
    <n v="11"/>
    <n v="43070"/>
    <n v="44602"/>
    <s v="Yes"/>
    <s v="Level 2"/>
    <d v="2026-05-01T00:00:00"/>
  </r>
  <r>
    <s v="C0126"/>
    <x v="2"/>
    <x v="5"/>
    <s v="Medium"/>
    <s v="In Progress"/>
    <n v="25"/>
    <s v="2026-05-08"/>
    <x v="4"/>
    <s v="Business Owner"/>
    <s v="Yes"/>
    <s v="Road Damage"/>
    <s v="Mobile App"/>
    <s v="Road damaged due to heavy rain"/>
    <n v="1"/>
    <s v="Yes"/>
    <n v="7"/>
    <s v="Delayed"/>
    <s v="Off127"/>
    <n v="5"/>
    <n v="36"/>
    <n v="9600"/>
    <n v="8010"/>
    <s v="Yes"/>
    <s v="Level 2"/>
    <d v="2026-06-02T00:00:00"/>
  </r>
  <r>
    <s v="C0127"/>
    <x v="2"/>
    <x v="9"/>
    <s v="Medium"/>
    <s v="Closed"/>
    <n v="7"/>
    <s v="2026-02-23"/>
    <x v="3"/>
    <s v="Student"/>
    <s v="No"/>
    <s v="Road Damage"/>
    <s v="Website"/>
    <s v="Road damaged due to heavy rain"/>
    <n v="4"/>
    <s v="No"/>
    <n v="7"/>
    <s v="Within SLA"/>
    <s v="Off128"/>
    <n v="10"/>
    <n v="38"/>
    <n v="40247"/>
    <n v="39037"/>
    <s v="No"/>
    <s v="None"/>
    <d v="2026-03-02T00:00:00"/>
  </r>
  <r>
    <s v="C0128"/>
    <x v="3"/>
    <x v="0"/>
    <s v="High"/>
    <s v="Closed"/>
    <n v="3"/>
    <s v="2026-01-16"/>
    <x v="2"/>
    <s v="General"/>
    <s v="No"/>
    <s v="Public Transport Delay"/>
    <s v="Helpline"/>
    <s v="Bus arrival delay reported"/>
    <n v="4"/>
    <s v="No"/>
    <n v="3"/>
    <s v="Within SLA"/>
    <s v="Off129"/>
    <n v="9"/>
    <n v="11"/>
    <n v="6439"/>
    <n v="6868"/>
    <s v="No"/>
    <s v="None"/>
    <d v="2026-01-19T00:00:00"/>
  </r>
  <r>
    <s v="C0129"/>
    <x v="3"/>
    <x v="2"/>
    <s v="Medium"/>
    <s v="Closed"/>
    <n v="16"/>
    <s v="2026-05-27"/>
    <x v="4"/>
    <s v="General"/>
    <s v="Yes"/>
    <s v="Public Transport Delay"/>
    <s v="Walk in"/>
    <s v="Bus arrival delay reported"/>
    <n v="2"/>
    <s v="Yes"/>
    <n v="7"/>
    <s v="Delayed"/>
    <s v="Off130"/>
    <n v="10"/>
    <n v="31"/>
    <n v="22609"/>
    <n v="22252"/>
    <s v="Yes"/>
    <s v="Level 2"/>
    <d v="2026-06-12T00:00:00"/>
  </r>
  <r>
    <s v="C0130"/>
    <x v="5"/>
    <x v="7"/>
    <s v="High"/>
    <s v="Open"/>
    <n v="7"/>
    <s v="2025-11-07"/>
    <x v="2"/>
    <s v="Farmer"/>
    <s v="No"/>
    <s v="General Complaint"/>
    <s v="Email"/>
    <s v="General complaint reported"/>
    <n v="3"/>
    <s v="No"/>
    <n v="3"/>
    <s v="Delayed"/>
    <s v="Off131"/>
    <n v="15"/>
    <n v="37"/>
    <n v="5317"/>
    <n v="3816"/>
    <s v="Yes"/>
    <s v="Level 3"/>
    <d v="2025-11-14T00:00:00"/>
  </r>
  <r>
    <s v="C0131"/>
    <x v="4"/>
    <x v="7"/>
    <s v="Medium"/>
    <s v="Closed"/>
    <n v="23"/>
    <s v="2026-06-06"/>
    <x v="1"/>
    <s v="Student"/>
    <s v="Yes"/>
    <s v="General Complaint"/>
    <s v="Mobile App"/>
    <s v="General complaint reported"/>
    <n v="4"/>
    <s v="No"/>
    <n v="7"/>
    <s v="Delayed"/>
    <s v="Off132"/>
    <n v="2"/>
    <n v="42"/>
    <n v="33898"/>
    <n v="34797"/>
    <s v="Yes"/>
    <s v="Level 2"/>
    <d v="2026-06-29T00:00:00"/>
  </r>
  <r>
    <s v="C0132"/>
    <x v="1"/>
    <x v="2"/>
    <s v="High"/>
    <s v="Closed"/>
    <n v="1"/>
    <s v="2025-10-20"/>
    <x v="0"/>
    <s v="Senior Citizen"/>
    <s v="No"/>
    <s v="Garbage Collection"/>
    <s v="Website"/>
    <s v="Garbage not collected for 3 days"/>
    <n v="1"/>
    <s v="Yes"/>
    <n v="3"/>
    <s v="Within SLA"/>
    <s v="Off133"/>
    <n v="9"/>
    <n v="47"/>
    <n v="13210"/>
    <n v="11957"/>
    <s v="No"/>
    <s v="None"/>
    <d v="2025-10-21T00:00:00"/>
  </r>
  <r>
    <s v="C0133"/>
    <x v="4"/>
    <x v="1"/>
    <s v="Low"/>
    <s v="In Progress"/>
    <n v="12"/>
    <s v="2025-08-04"/>
    <x v="5"/>
    <s v="Farmer"/>
    <s v="Yes"/>
    <s v="General Complaint"/>
    <s v="Helpline"/>
    <s v="General complaint reported"/>
    <n v="1"/>
    <s v="Yes"/>
    <n v="15"/>
    <s v="Within SLA"/>
    <s v="Off134"/>
    <n v="11"/>
    <n v="12"/>
    <n v="29896"/>
    <n v="30642"/>
    <s v="No"/>
    <s v="None"/>
    <d v="2025-08-16T00:00:00"/>
  </r>
  <r>
    <s v="C0134"/>
    <x v="5"/>
    <x v="2"/>
    <s v="Low"/>
    <s v="Closed"/>
    <n v="6"/>
    <s v="2025-01-14"/>
    <x v="0"/>
    <s v="General"/>
    <s v="No"/>
    <s v="General Complaint"/>
    <s v="Walk in"/>
    <s v="General complaint reported"/>
    <n v="1"/>
    <s v="Yes"/>
    <n v="15"/>
    <s v="Within SLA"/>
    <s v="Off135"/>
    <n v="5"/>
    <n v="26"/>
    <n v="41412"/>
    <n v="40089"/>
    <s v="No"/>
    <s v="None"/>
    <d v="2025-01-20T00:00:00"/>
  </r>
  <r>
    <s v="C0135"/>
    <x v="3"/>
    <x v="1"/>
    <s v="Medium"/>
    <s v="Closed"/>
    <n v="12"/>
    <s v="2025-09-20"/>
    <x v="1"/>
    <s v="General"/>
    <s v="Yes"/>
    <s v="Public Transport Delay"/>
    <s v="Email"/>
    <s v="Bus arrival delay reported"/>
    <n v="5"/>
    <s v="No"/>
    <n v="7"/>
    <s v="Delayed"/>
    <s v="Off136"/>
    <n v="9"/>
    <n v="9"/>
    <n v="26456"/>
    <n v="24694"/>
    <s v="Yes"/>
    <s v="Level 2"/>
    <d v="2025-10-02T00:00:00"/>
  </r>
  <r>
    <s v="C0136"/>
    <x v="2"/>
    <x v="3"/>
    <s v="High"/>
    <s v="Open"/>
    <n v="39"/>
    <s v="2025-11-18"/>
    <x v="3"/>
    <s v="Student"/>
    <s v="Yes"/>
    <s v="Road Damage"/>
    <s v="Mobile App"/>
    <s v="Road damaged due to heavy rain"/>
    <n v="4"/>
    <s v="No"/>
    <n v="3"/>
    <s v="Delayed"/>
    <s v="Off137"/>
    <n v="8"/>
    <n v="36"/>
    <n v="27978"/>
    <n v="28300"/>
    <s v="Yes"/>
    <s v="Level 3"/>
    <d v="2025-12-27T00:00:00"/>
  </r>
  <r>
    <s v="C0137"/>
    <x v="0"/>
    <x v="7"/>
    <s v="Medium"/>
    <s v="In Progress"/>
    <n v="21"/>
    <s v="2025-02-12"/>
    <x v="2"/>
    <s v="General"/>
    <s v="Yes"/>
    <s v="Water Leakage"/>
    <s v="Website"/>
    <s v="Water pipe leakage near school"/>
    <n v="3"/>
    <s v="No"/>
    <n v="7"/>
    <s v="Delayed"/>
    <s v="Off138"/>
    <n v="9"/>
    <n v="21"/>
    <n v="20182"/>
    <n v="21263"/>
    <s v="Yes"/>
    <s v="Level 2"/>
    <d v="2025-03-05T00:00:00"/>
  </r>
  <r>
    <s v="C0138"/>
    <x v="3"/>
    <x v="2"/>
    <s v="Medium"/>
    <s v="Resolved"/>
    <n v="3"/>
    <s v="2025-10-17"/>
    <x v="5"/>
    <s v="Business Owner"/>
    <s v="No"/>
    <s v="Public Transport Delay"/>
    <s v="Helpline"/>
    <s v="Bus arrival delay reported"/>
    <n v="5"/>
    <s v="No"/>
    <n v="7"/>
    <s v="Within SLA"/>
    <s v="Off139"/>
    <n v="7"/>
    <n v="37"/>
    <n v="44274"/>
    <n v="44702"/>
    <s v="No"/>
    <s v="None"/>
    <d v="2025-10-20T00:00:00"/>
  </r>
  <r>
    <s v="C0139"/>
    <x v="4"/>
    <x v="1"/>
    <s v="High"/>
    <s v="In Progress"/>
    <n v="7"/>
    <s v="2025-07-04"/>
    <x v="3"/>
    <s v="Student"/>
    <s v="No"/>
    <s v="General Complaint"/>
    <s v="Walk in"/>
    <s v="General complaint reported"/>
    <n v="1"/>
    <s v="Yes"/>
    <n v="3"/>
    <s v="Delayed"/>
    <s v="Off140"/>
    <n v="12"/>
    <n v="44"/>
    <n v="34816"/>
    <n v="36686"/>
    <s v="Yes"/>
    <s v="Level 3"/>
    <d v="2025-07-11T00:00:00"/>
  </r>
  <r>
    <s v="C0140"/>
    <x v="2"/>
    <x v="1"/>
    <s v="Low"/>
    <s v="Closed"/>
    <n v="27"/>
    <s v="2025-04-27"/>
    <x v="0"/>
    <s v="Business Owner"/>
    <s v="Yes"/>
    <s v="Road Damage"/>
    <s v="Email"/>
    <s v="Road damaged due to heavy rain"/>
    <n v="1"/>
    <s v="Yes"/>
    <n v="15"/>
    <s v="Delayed"/>
    <s v="Off141"/>
    <n v="10"/>
    <n v="8"/>
    <n v="24293"/>
    <n v="26055"/>
    <s v="Yes"/>
    <s v="Level 1"/>
    <d v="2025-05-24T00:00:00"/>
  </r>
  <r>
    <s v="C0141"/>
    <x v="2"/>
    <x v="7"/>
    <s v="Low"/>
    <s v="Closed"/>
    <n v="4"/>
    <s v="2025-11-24"/>
    <x v="0"/>
    <s v="Farmer"/>
    <s v="No"/>
    <s v="Road Damage"/>
    <s v="Mobile App"/>
    <s v="Road damaged due to heavy rain"/>
    <n v="4"/>
    <s v="No"/>
    <n v="15"/>
    <s v="Within SLA"/>
    <s v="Off142"/>
    <n v="5"/>
    <n v="17"/>
    <n v="22089"/>
    <n v="20753"/>
    <s v="No"/>
    <s v="None"/>
    <d v="2025-11-28T00:00:00"/>
  </r>
  <r>
    <s v="C0142"/>
    <x v="2"/>
    <x v="6"/>
    <s v="Low"/>
    <s v="Open"/>
    <n v="8"/>
    <s v="2026-04-30"/>
    <x v="4"/>
    <s v="General"/>
    <s v="Yes"/>
    <s v="Road Damage"/>
    <s v="Website"/>
    <s v="Road damaged due to heavy rain"/>
    <n v="1"/>
    <s v="Yes"/>
    <n v="15"/>
    <s v="Within SLA"/>
    <s v="Off143"/>
    <n v="7"/>
    <n v="12"/>
    <n v="17283"/>
    <n v="16877"/>
    <s v="No"/>
    <s v="None"/>
    <d v="2026-05-08T00:00:00"/>
  </r>
  <r>
    <s v="C0143"/>
    <x v="2"/>
    <x v="9"/>
    <s v="Medium"/>
    <s v="Open"/>
    <n v="32"/>
    <s v="2025-03-09"/>
    <x v="2"/>
    <s v="Farmer"/>
    <s v="Yes"/>
    <s v="Road Damage"/>
    <s v="Helpline"/>
    <s v="Road damaged due to heavy rain"/>
    <n v="3"/>
    <s v="No"/>
    <n v="7"/>
    <s v="Delayed"/>
    <s v="Off144"/>
    <n v="8"/>
    <n v="38"/>
    <n v="43990"/>
    <n v="43423"/>
    <s v="Yes"/>
    <s v="Level 2"/>
    <d v="2025-04-10T00:00:00"/>
  </r>
  <r>
    <s v="C0144"/>
    <x v="0"/>
    <x v="0"/>
    <s v="Low"/>
    <s v="Closed"/>
    <n v="17"/>
    <s v="2025-05-20"/>
    <x v="3"/>
    <s v="General"/>
    <s v="Yes"/>
    <s v="Water Leakage"/>
    <s v="Walk in"/>
    <s v="Water pipe leakage near school"/>
    <n v="5"/>
    <s v="No"/>
    <n v="15"/>
    <s v="Delayed"/>
    <s v="Off145"/>
    <n v="14"/>
    <n v="36"/>
    <n v="26058"/>
    <n v="24088"/>
    <s v="Yes"/>
    <s v="Level 1"/>
    <d v="2025-06-06T00:00:00"/>
  </r>
  <r>
    <s v="C0145"/>
    <x v="5"/>
    <x v="3"/>
    <s v="Low"/>
    <s v="Open"/>
    <n v="38"/>
    <s v="2025-11-22"/>
    <x v="4"/>
    <s v="Business Owner"/>
    <s v="Yes"/>
    <s v="General Complaint"/>
    <s v="Email"/>
    <s v="General complaint reported"/>
    <n v="2"/>
    <s v="Yes"/>
    <n v="15"/>
    <s v="Delayed"/>
    <s v="Off146"/>
    <n v="5"/>
    <n v="17"/>
    <n v="41319"/>
    <n v="39961"/>
    <s v="Yes"/>
    <s v="Level 1"/>
    <d v="2025-12-30T00:00:00"/>
  </r>
  <r>
    <s v="C0146"/>
    <x v="5"/>
    <x v="6"/>
    <s v="Medium"/>
    <s v="In Progress"/>
    <n v="25"/>
    <s v="2026-05-26"/>
    <x v="4"/>
    <s v="General"/>
    <s v="Yes"/>
    <s v="General Complaint"/>
    <s v="Mobile App"/>
    <s v="General complaint reported"/>
    <n v="4"/>
    <s v="No"/>
    <n v="7"/>
    <s v="Delayed"/>
    <s v="Off147"/>
    <n v="12"/>
    <n v="31"/>
    <n v="18224"/>
    <n v="19694"/>
    <s v="Yes"/>
    <s v="Level 2"/>
    <d v="2026-06-20T00:00:00"/>
  </r>
  <r>
    <s v="C0147"/>
    <x v="2"/>
    <x v="2"/>
    <s v="Medium"/>
    <s v="Resolved"/>
    <n v="23"/>
    <s v="2025-02-26"/>
    <x v="1"/>
    <s v="Senior Citizen"/>
    <s v="Yes"/>
    <s v="Road Damage"/>
    <s v="Website"/>
    <s v="Road damaged due to heavy rain"/>
    <n v="5"/>
    <s v="No"/>
    <n v="7"/>
    <s v="Delayed"/>
    <s v="Off148"/>
    <n v="12"/>
    <n v="46"/>
    <n v="13165"/>
    <n v="13075"/>
    <s v="Yes"/>
    <s v="Level 2"/>
    <d v="2025-03-21T00:00:00"/>
  </r>
  <r>
    <s v="C0148"/>
    <x v="5"/>
    <x v="4"/>
    <s v="Low"/>
    <s v="Closed"/>
    <n v="3"/>
    <s v="2025-02-26"/>
    <x v="4"/>
    <s v="Student"/>
    <s v="No"/>
    <s v="General Complaint"/>
    <s v="Helpline"/>
    <s v="General complaint reported"/>
    <n v="4"/>
    <s v="No"/>
    <n v="15"/>
    <s v="Within SLA"/>
    <s v="Off149"/>
    <n v="9"/>
    <n v="26"/>
    <n v="43160"/>
    <n v="43497"/>
    <s v="No"/>
    <s v="None"/>
    <d v="2025-03-01T00:00:00"/>
  </r>
  <r>
    <s v="C0149"/>
    <x v="1"/>
    <x v="3"/>
    <s v="Low"/>
    <s v="In Progress"/>
    <n v="23"/>
    <s v="2025-05-05"/>
    <x v="4"/>
    <s v="Farmer"/>
    <s v="Yes"/>
    <s v="Garbage Collection"/>
    <s v="Walk in"/>
    <s v="Garbage not collected for 3 days"/>
    <n v="3"/>
    <s v="No"/>
    <n v="15"/>
    <s v="Delayed"/>
    <s v="Off150"/>
    <n v="10"/>
    <n v="18"/>
    <n v="23255"/>
    <n v="23626"/>
    <s v="Yes"/>
    <s v="Level 1"/>
    <d v="2025-05-28T00:00:00"/>
  </r>
  <r>
    <s v="C0150"/>
    <x v="1"/>
    <x v="9"/>
    <s v="Low"/>
    <s v="Closed"/>
    <n v="5"/>
    <s v="2025-02-14"/>
    <x v="0"/>
    <s v="General"/>
    <s v="No"/>
    <s v="Garbage Collection"/>
    <s v="Email"/>
    <s v="Garbage not collected for 3 days"/>
    <n v="1"/>
    <s v="Yes"/>
    <n v="15"/>
    <s v="Within SLA"/>
    <s v="Off151"/>
    <n v="8"/>
    <n v="28"/>
    <n v="21412"/>
    <n v="22061"/>
    <s v="No"/>
    <s v="None"/>
    <d v="2025-02-19T00:00:00"/>
  </r>
  <r>
    <s v="C0151"/>
    <x v="4"/>
    <x v="5"/>
    <s v="High"/>
    <s v="Closed"/>
    <n v="24"/>
    <s v="2025-11-25"/>
    <x v="0"/>
    <s v="Senior Citizen"/>
    <s v="Yes"/>
    <s v="General Complaint"/>
    <s v="Mobile App"/>
    <s v="General complaint reported"/>
    <n v="3"/>
    <s v="No"/>
    <n v="3"/>
    <s v="Delayed"/>
    <s v="Off152"/>
    <n v="6"/>
    <n v="28"/>
    <n v="20757"/>
    <n v="19686"/>
    <s v="Yes"/>
    <s v="Level 3"/>
    <d v="2025-12-19T00:00:00"/>
  </r>
  <r>
    <s v="C0152"/>
    <x v="2"/>
    <x v="7"/>
    <s v="Low"/>
    <s v="Resolved"/>
    <n v="12"/>
    <s v="2025-06-08"/>
    <x v="1"/>
    <s v="Farmer"/>
    <s v="Yes"/>
    <s v="Road Damage"/>
    <s v="Website"/>
    <s v="Road damaged due to heavy rain"/>
    <n v="2"/>
    <s v="Yes"/>
    <n v="15"/>
    <s v="Within SLA"/>
    <s v="Off153"/>
    <n v="7"/>
    <n v="14"/>
    <n v="40882"/>
    <n v="42737"/>
    <s v="No"/>
    <s v="None"/>
    <d v="2025-06-20T00:00:00"/>
  </r>
  <r>
    <s v="C0153"/>
    <x v="2"/>
    <x v="2"/>
    <s v="High"/>
    <s v="In Progress"/>
    <n v="43"/>
    <s v="2025-10-06"/>
    <x v="2"/>
    <s v="Business Owner"/>
    <s v="Yes"/>
    <s v="Road Damage"/>
    <s v="Helpline"/>
    <s v="Road damaged due to heavy rain"/>
    <n v="3"/>
    <s v="No"/>
    <n v="3"/>
    <s v="Delayed"/>
    <s v="Off154"/>
    <n v="4"/>
    <n v="8"/>
    <n v="27247"/>
    <n v="29234"/>
    <s v="Yes"/>
    <s v="Level 3"/>
    <d v="2025-11-18T00:00:00"/>
  </r>
  <r>
    <s v="C0154"/>
    <x v="4"/>
    <x v="0"/>
    <s v="Medium"/>
    <s v="Resolved"/>
    <n v="1"/>
    <s v="2025-01-10"/>
    <x v="1"/>
    <s v="Student"/>
    <s v="No"/>
    <s v="General Complaint"/>
    <s v="Walk in"/>
    <s v="General complaint reported"/>
    <n v="4"/>
    <s v="No"/>
    <n v="7"/>
    <s v="Within SLA"/>
    <s v="Off155"/>
    <n v="7"/>
    <n v="34"/>
    <n v="14789"/>
    <n v="15653"/>
    <s v="No"/>
    <s v="None"/>
    <d v="2025-01-11T00:00:00"/>
  </r>
  <r>
    <s v="C0155"/>
    <x v="3"/>
    <x v="5"/>
    <s v="Medium"/>
    <s v="In Progress"/>
    <n v="44"/>
    <s v="2026-05-18"/>
    <x v="5"/>
    <s v="Senior Citizen"/>
    <s v="Yes"/>
    <s v="Public Transport Delay"/>
    <s v="Email"/>
    <s v="Bus arrival delay reported"/>
    <n v="1"/>
    <s v="Yes"/>
    <n v="7"/>
    <s v="Delayed"/>
    <s v="Off156"/>
    <n v="3"/>
    <n v="19"/>
    <n v="6890"/>
    <n v="5265"/>
    <s v="Yes"/>
    <s v="Level 2"/>
    <d v="2026-07-01T00:00:00"/>
  </r>
  <r>
    <s v="C0156"/>
    <x v="4"/>
    <x v="8"/>
    <s v="High"/>
    <s v="Closed"/>
    <n v="25"/>
    <s v="2026-01-26"/>
    <x v="4"/>
    <s v="General"/>
    <s v="Yes"/>
    <s v="General Complaint"/>
    <s v="Mobile App"/>
    <s v="General complaint reported"/>
    <n v="5"/>
    <s v="No"/>
    <n v="3"/>
    <s v="Delayed"/>
    <s v="Off157"/>
    <n v="1"/>
    <n v="47"/>
    <n v="19663"/>
    <n v="20650"/>
    <s v="Yes"/>
    <s v="Level 3"/>
    <d v="2026-02-20T00:00:00"/>
  </r>
  <r>
    <s v="C0157"/>
    <x v="4"/>
    <x v="2"/>
    <s v="Medium"/>
    <s v="Resolved"/>
    <n v="23"/>
    <s v="2026-03-09"/>
    <x v="2"/>
    <s v="Student"/>
    <s v="Yes"/>
    <s v="General Complaint"/>
    <s v="Website"/>
    <s v="General complaint reported"/>
    <n v="5"/>
    <s v="No"/>
    <n v="7"/>
    <s v="Delayed"/>
    <s v="Off158"/>
    <n v="10"/>
    <n v="15"/>
    <n v="43578"/>
    <n v="45133"/>
    <s v="Yes"/>
    <s v="Level 2"/>
    <d v="2026-04-01T00:00:00"/>
  </r>
  <r>
    <s v="C0158"/>
    <x v="2"/>
    <x v="1"/>
    <s v="Medium"/>
    <s v="Resolved"/>
    <n v="28"/>
    <s v="2026-05-21"/>
    <x v="3"/>
    <s v="General"/>
    <s v="Yes"/>
    <s v="Road Damage"/>
    <s v="Helpline"/>
    <s v="Road damaged due to heavy rain"/>
    <n v="2"/>
    <s v="Yes"/>
    <n v="7"/>
    <s v="Delayed"/>
    <s v="Off159"/>
    <n v="15"/>
    <n v="28"/>
    <n v="15444"/>
    <n v="14874"/>
    <s v="Yes"/>
    <s v="Level 2"/>
    <d v="2026-06-18T00:00:00"/>
  </r>
  <r>
    <s v="C0159"/>
    <x v="2"/>
    <x v="2"/>
    <s v="Low"/>
    <s v="In Progress"/>
    <n v="32"/>
    <s v="2026-04-15"/>
    <x v="2"/>
    <s v="Farmer"/>
    <s v="Yes"/>
    <s v="Road Damage"/>
    <s v="Walk in"/>
    <s v="Road damaged due to heavy rain"/>
    <n v="4"/>
    <s v="No"/>
    <n v="15"/>
    <s v="Delayed"/>
    <s v="Off160"/>
    <n v="13"/>
    <n v="5"/>
    <n v="41110"/>
    <n v="42107"/>
    <s v="Yes"/>
    <s v="Level 1"/>
    <d v="2026-05-17T00:00:00"/>
  </r>
  <r>
    <s v="C0160"/>
    <x v="2"/>
    <x v="4"/>
    <s v="Low"/>
    <s v="Resolved"/>
    <n v="24"/>
    <s v="2025-01-16"/>
    <x v="4"/>
    <s v="General"/>
    <s v="Yes"/>
    <s v="Road Damage"/>
    <s v="Email"/>
    <s v="Road damaged due to heavy rain"/>
    <n v="5"/>
    <s v="No"/>
    <n v="15"/>
    <s v="Delayed"/>
    <s v="Off161"/>
    <n v="10"/>
    <n v="26"/>
    <n v="12972"/>
    <n v="13038"/>
    <s v="Yes"/>
    <s v="Level 1"/>
    <d v="2025-02-09T00:00:00"/>
  </r>
  <r>
    <s v="C0161"/>
    <x v="4"/>
    <x v="5"/>
    <s v="High"/>
    <s v="Open"/>
    <n v="45"/>
    <s v="2025-04-14"/>
    <x v="3"/>
    <s v="General"/>
    <s v="Yes"/>
    <s v="General Complaint"/>
    <s v="Mobile App"/>
    <s v="General complaint reported"/>
    <n v="5"/>
    <s v="No"/>
    <n v="3"/>
    <s v="Delayed"/>
    <s v="Off162"/>
    <n v="2"/>
    <n v="20"/>
    <n v="45192"/>
    <n v="45908"/>
    <s v="Yes"/>
    <s v="Level 3"/>
    <d v="2025-05-29T00:00:00"/>
  </r>
  <r>
    <s v="C0162"/>
    <x v="3"/>
    <x v="0"/>
    <s v="Low"/>
    <s v="Closed"/>
    <n v="10"/>
    <s v="2026-05-28"/>
    <x v="0"/>
    <s v="Student"/>
    <s v="Yes"/>
    <s v="Public Transport Delay"/>
    <s v="Website"/>
    <s v="Bus arrival delay reported"/>
    <n v="5"/>
    <s v="No"/>
    <n v="15"/>
    <s v="Within SLA"/>
    <s v="Off163"/>
    <n v="6"/>
    <n v="20"/>
    <n v="35442"/>
    <n v="35805"/>
    <s v="No"/>
    <s v="None"/>
    <d v="2026-06-07T00:00:00"/>
  </r>
  <r>
    <s v="C0163"/>
    <x v="3"/>
    <x v="4"/>
    <s v="High"/>
    <s v="Resolved"/>
    <n v="6"/>
    <s v="2026-04-26"/>
    <x v="1"/>
    <s v="Senior Citizen"/>
    <s v="No"/>
    <s v="Public Transport Delay"/>
    <s v="Helpline"/>
    <s v="Bus arrival delay reported"/>
    <n v="5"/>
    <s v="No"/>
    <n v="3"/>
    <s v="Delayed"/>
    <s v="Off164"/>
    <n v="4"/>
    <n v="25"/>
    <n v="43538"/>
    <n v="44560"/>
    <s v="Yes"/>
    <s v="Level 3"/>
    <d v="2026-05-02T00:00:00"/>
  </r>
  <r>
    <s v="C0164"/>
    <x v="0"/>
    <x v="2"/>
    <s v="Medium"/>
    <s v="Resolved"/>
    <n v="4"/>
    <s v="2025-01-12"/>
    <x v="3"/>
    <s v="Business Owner"/>
    <s v="No"/>
    <s v="Water Leakage"/>
    <s v="Walk in"/>
    <s v="Water pipe leakage near school"/>
    <n v="3"/>
    <s v="No"/>
    <n v="7"/>
    <s v="Within SLA"/>
    <s v="Off165"/>
    <n v="11"/>
    <n v="31"/>
    <n v="8653"/>
    <n v="10485"/>
    <s v="No"/>
    <s v="None"/>
    <d v="2025-01-16T00:00:00"/>
  </r>
  <r>
    <s v="C0165"/>
    <x v="2"/>
    <x v="5"/>
    <s v="High"/>
    <s v="Open"/>
    <n v="45"/>
    <s v="2025-11-11"/>
    <x v="2"/>
    <s v="Business Owner"/>
    <s v="Yes"/>
    <s v="Road Damage"/>
    <s v="Email"/>
    <s v="Road damaged due to heavy rain"/>
    <n v="1"/>
    <s v="Yes"/>
    <n v="3"/>
    <s v="Delayed"/>
    <s v="Off166"/>
    <n v="10"/>
    <n v="9"/>
    <n v="11718"/>
    <n v="11129"/>
    <s v="Yes"/>
    <s v="Level 3"/>
    <d v="2025-12-26T00:00:00"/>
  </r>
  <r>
    <s v="C0166"/>
    <x v="4"/>
    <x v="1"/>
    <s v="Medium"/>
    <s v="In Progress"/>
    <n v="5"/>
    <s v="2025-03-30"/>
    <x v="1"/>
    <s v="Student"/>
    <s v="No"/>
    <s v="General Complaint"/>
    <s v="Mobile App"/>
    <s v="General complaint reported"/>
    <n v="2"/>
    <s v="Yes"/>
    <n v="7"/>
    <s v="Within SLA"/>
    <s v="Off167"/>
    <n v="7"/>
    <n v="23"/>
    <n v="24390"/>
    <n v="24254"/>
    <s v="No"/>
    <s v="None"/>
    <d v="2025-04-04T00:00:00"/>
  </r>
  <r>
    <s v="C0167"/>
    <x v="4"/>
    <x v="7"/>
    <s v="Medium"/>
    <s v="In Progress"/>
    <n v="5"/>
    <s v="2025-04-15"/>
    <x v="4"/>
    <s v="Business Owner"/>
    <s v="No"/>
    <s v="General Complaint"/>
    <s v="Website"/>
    <s v="General complaint reported"/>
    <n v="4"/>
    <s v="No"/>
    <n v="7"/>
    <s v="Within SLA"/>
    <s v="Off168"/>
    <n v="10"/>
    <n v="22"/>
    <n v="41182"/>
    <n v="39386"/>
    <s v="No"/>
    <s v="None"/>
    <d v="2025-04-20T00:00:00"/>
  </r>
  <r>
    <s v="C0168"/>
    <x v="1"/>
    <x v="5"/>
    <s v="High"/>
    <s v="Closed"/>
    <n v="28"/>
    <s v="2025-05-19"/>
    <x v="2"/>
    <s v="General"/>
    <s v="Yes"/>
    <s v="Garbage Collection"/>
    <s v="Helpline"/>
    <s v="Garbage not collected for 3 days"/>
    <n v="1"/>
    <s v="Yes"/>
    <n v="3"/>
    <s v="Delayed"/>
    <s v="Off169"/>
    <n v="11"/>
    <n v="21"/>
    <n v="49427"/>
    <n v="49822"/>
    <s v="Yes"/>
    <s v="Level 3"/>
    <d v="2025-06-16T00:00:00"/>
  </r>
  <r>
    <s v="C0169"/>
    <x v="2"/>
    <x v="1"/>
    <s v="Low"/>
    <s v="Closed"/>
    <n v="11"/>
    <s v="2026-02-26"/>
    <x v="3"/>
    <s v="Business Owner"/>
    <s v="Yes"/>
    <s v="Road Damage"/>
    <s v="Walk in"/>
    <s v="Road damaged due to heavy rain"/>
    <n v="4"/>
    <s v="No"/>
    <n v="15"/>
    <s v="Within SLA"/>
    <s v="Off170"/>
    <n v="6"/>
    <n v="25"/>
    <n v="15672"/>
    <n v="14879"/>
    <s v="No"/>
    <s v="None"/>
    <d v="2026-03-09T00:00:00"/>
  </r>
  <r>
    <s v="C0170"/>
    <x v="2"/>
    <x v="5"/>
    <s v="Medium"/>
    <s v="In Progress"/>
    <n v="33"/>
    <s v="2025-12-28"/>
    <x v="4"/>
    <s v="Business Owner"/>
    <s v="Yes"/>
    <s v="Road Damage"/>
    <s v="Email"/>
    <s v="Road damaged due to heavy rain"/>
    <n v="5"/>
    <s v="No"/>
    <n v="7"/>
    <s v="Delayed"/>
    <s v="Off171"/>
    <n v="7"/>
    <n v="6"/>
    <n v="20972"/>
    <n v="21951"/>
    <s v="Yes"/>
    <s v="Level 2"/>
    <d v="2026-01-30T00:00:00"/>
  </r>
  <r>
    <s v="C0171"/>
    <x v="2"/>
    <x v="6"/>
    <s v="High"/>
    <s v="Closed"/>
    <n v="1"/>
    <s v="2025-09-10"/>
    <x v="3"/>
    <s v="Business Owner"/>
    <s v="No"/>
    <s v="Road Damage"/>
    <s v="Mobile App"/>
    <s v="Road damaged due to heavy rain"/>
    <n v="3"/>
    <s v="No"/>
    <n v="3"/>
    <s v="Within SLA"/>
    <s v="Off172"/>
    <n v="7"/>
    <n v="19"/>
    <n v="42684"/>
    <n v="43983"/>
    <s v="No"/>
    <s v="None"/>
    <d v="2025-09-11T00:00:00"/>
  </r>
  <r>
    <s v="C0172"/>
    <x v="1"/>
    <x v="8"/>
    <s v="Low"/>
    <s v="Resolved"/>
    <n v="29"/>
    <s v="2025-09-23"/>
    <x v="2"/>
    <s v="Farmer"/>
    <s v="Yes"/>
    <s v="Garbage Collection"/>
    <s v="Website"/>
    <s v="Garbage not collected for 3 days"/>
    <n v="3"/>
    <s v="No"/>
    <n v="15"/>
    <s v="Delayed"/>
    <s v="Off173"/>
    <n v="1"/>
    <n v="47"/>
    <n v="37552"/>
    <n v="38594"/>
    <s v="Yes"/>
    <s v="Level 1"/>
    <d v="2025-10-22T00:00:00"/>
  </r>
  <r>
    <s v="C0173"/>
    <x v="1"/>
    <x v="2"/>
    <s v="High"/>
    <s v="Closed"/>
    <n v="20"/>
    <s v="2025-03-30"/>
    <x v="4"/>
    <s v="Business Owner"/>
    <s v="Yes"/>
    <s v="Garbage Collection"/>
    <s v="Helpline"/>
    <s v="Garbage not collected for 3 days"/>
    <n v="1"/>
    <s v="Yes"/>
    <n v="3"/>
    <s v="Delayed"/>
    <s v="Off174"/>
    <n v="11"/>
    <n v="33"/>
    <n v="40059"/>
    <n v="41977"/>
    <s v="Yes"/>
    <s v="Level 3"/>
    <d v="2025-04-19T00:00:00"/>
  </r>
  <r>
    <s v="C0174"/>
    <x v="3"/>
    <x v="1"/>
    <s v="Low"/>
    <s v="Closed"/>
    <n v="4"/>
    <s v="2026-04-22"/>
    <x v="1"/>
    <s v="Farmer"/>
    <s v="No"/>
    <s v="Public Transport Delay"/>
    <s v="Walk in"/>
    <s v="Bus arrival delay reported"/>
    <n v="2"/>
    <s v="Yes"/>
    <n v="15"/>
    <s v="Within SLA"/>
    <s v="Off175"/>
    <n v="1"/>
    <n v="38"/>
    <n v="3246"/>
    <n v="2434"/>
    <s v="No"/>
    <s v="None"/>
    <d v="2026-04-26T00:00:00"/>
  </r>
  <r>
    <s v="C0175"/>
    <x v="0"/>
    <x v="8"/>
    <s v="Low"/>
    <s v="Closed"/>
    <n v="28"/>
    <s v="2025-06-18"/>
    <x v="1"/>
    <s v="Business Owner"/>
    <s v="Yes"/>
    <s v="Water Leakage"/>
    <s v="Email"/>
    <s v="Water pipe leakage near school"/>
    <n v="5"/>
    <s v="No"/>
    <n v="15"/>
    <s v="Delayed"/>
    <s v="Off176"/>
    <n v="13"/>
    <n v="10"/>
    <n v="32871"/>
    <n v="32953"/>
    <s v="Yes"/>
    <s v="Level 1"/>
    <d v="2025-07-16T00:00:00"/>
  </r>
  <r>
    <s v="C0176"/>
    <x v="0"/>
    <x v="2"/>
    <s v="High"/>
    <s v="Closed"/>
    <n v="3"/>
    <s v="2025-10-16"/>
    <x v="2"/>
    <s v="Student"/>
    <s v="No"/>
    <s v="Water Leakage"/>
    <s v="Mobile App"/>
    <s v="Water pipe leakage near school"/>
    <n v="3"/>
    <s v="No"/>
    <n v="3"/>
    <s v="Within SLA"/>
    <s v="Off177"/>
    <n v="2"/>
    <n v="49"/>
    <n v="48405"/>
    <n v="48361"/>
    <s v="No"/>
    <s v="None"/>
    <d v="2025-10-19T00:00:00"/>
  </r>
  <r>
    <s v="C0177"/>
    <x v="4"/>
    <x v="8"/>
    <s v="Medium"/>
    <s v="Open"/>
    <n v="2"/>
    <s v="2025-10-18"/>
    <x v="0"/>
    <s v="Business Owner"/>
    <s v="No"/>
    <s v="General Complaint"/>
    <s v="Website"/>
    <s v="General complaint reported"/>
    <n v="1"/>
    <s v="Yes"/>
    <n v="7"/>
    <s v="Within SLA"/>
    <s v="Off178"/>
    <n v="2"/>
    <n v="45"/>
    <n v="24591"/>
    <n v="23204"/>
    <s v="No"/>
    <s v="None"/>
    <d v="2025-10-20T00:00:00"/>
  </r>
  <r>
    <s v="C0178"/>
    <x v="5"/>
    <x v="4"/>
    <s v="Low"/>
    <s v="In Progress"/>
    <n v="42"/>
    <s v="2026-01-13"/>
    <x v="2"/>
    <s v="Farmer"/>
    <s v="Yes"/>
    <s v="General Complaint"/>
    <s v="Helpline"/>
    <s v="General complaint reported"/>
    <n v="3"/>
    <s v="No"/>
    <n v="15"/>
    <s v="Delayed"/>
    <s v="Off179"/>
    <n v="9"/>
    <n v="34"/>
    <n v="41190"/>
    <n v="41888"/>
    <s v="Yes"/>
    <s v="Level 1"/>
    <d v="2026-02-24T00:00:00"/>
  </r>
  <r>
    <s v="C0179"/>
    <x v="2"/>
    <x v="4"/>
    <s v="Low"/>
    <s v="Open"/>
    <n v="22"/>
    <s v="2026-06-17"/>
    <x v="3"/>
    <s v="Student"/>
    <s v="Yes"/>
    <s v="Road Damage"/>
    <s v="Walk in"/>
    <s v="Road damaged due to heavy rain"/>
    <n v="1"/>
    <s v="Yes"/>
    <n v="15"/>
    <s v="Delayed"/>
    <s v="Off180"/>
    <n v="5"/>
    <n v="39"/>
    <n v="6624"/>
    <n v="8284"/>
    <s v="Yes"/>
    <s v="Level 1"/>
    <d v="2026-07-09T00:00:00"/>
  </r>
  <r>
    <s v="C0180"/>
    <x v="4"/>
    <x v="7"/>
    <s v="Medium"/>
    <s v="In Progress"/>
    <n v="11"/>
    <s v="2025-03-25"/>
    <x v="4"/>
    <s v="Senior Citizen"/>
    <s v="Yes"/>
    <s v="General Complaint"/>
    <s v="Email"/>
    <s v="General complaint reported"/>
    <n v="2"/>
    <s v="Yes"/>
    <n v="7"/>
    <s v="Delayed"/>
    <s v="Off181"/>
    <n v="1"/>
    <n v="48"/>
    <n v="45749"/>
    <n v="44641"/>
    <s v="Yes"/>
    <s v="Level 2"/>
    <d v="2025-04-05T00:00:00"/>
  </r>
  <r>
    <s v="C0181"/>
    <x v="5"/>
    <x v="9"/>
    <s v="Low"/>
    <s v="Resolved"/>
    <n v="8"/>
    <s v="2025-05-05"/>
    <x v="5"/>
    <s v="Farmer"/>
    <s v="Yes"/>
    <s v="General Complaint"/>
    <s v="Mobile App"/>
    <s v="General complaint reported"/>
    <n v="3"/>
    <s v="No"/>
    <n v="15"/>
    <s v="Within SLA"/>
    <s v="Off182"/>
    <n v="15"/>
    <n v="27"/>
    <n v="7779"/>
    <n v="7563"/>
    <s v="No"/>
    <s v="None"/>
    <d v="2025-05-13T00:00:00"/>
  </r>
  <r>
    <s v="C0182"/>
    <x v="3"/>
    <x v="4"/>
    <s v="Low"/>
    <s v="Closed"/>
    <n v="3"/>
    <s v="2025-12-03"/>
    <x v="1"/>
    <s v="Senior Citizen"/>
    <s v="No"/>
    <s v="Public Transport Delay"/>
    <s v="Website"/>
    <s v="Bus arrival delay reported"/>
    <n v="1"/>
    <s v="Yes"/>
    <n v="15"/>
    <s v="Within SLA"/>
    <s v="Off183"/>
    <n v="11"/>
    <n v="35"/>
    <n v="30768"/>
    <n v="32575"/>
    <s v="No"/>
    <s v="None"/>
    <d v="2025-12-06T00:00:00"/>
  </r>
  <r>
    <s v="C0183"/>
    <x v="5"/>
    <x v="8"/>
    <s v="High"/>
    <s v="Closed"/>
    <n v="10"/>
    <s v="2026-02-09"/>
    <x v="3"/>
    <s v="Student"/>
    <s v="Yes"/>
    <s v="General Complaint"/>
    <s v="Helpline"/>
    <s v="General complaint reported"/>
    <n v="3"/>
    <s v="No"/>
    <n v="3"/>
    <s v="Delayed"/>
    <s v="Off184"/>
    <n v="14"/>
    <n v="13"/>
    <n v="28427"/>
    <n v="28816"/>
    <s v="Yes"/>
    <s v="Level 3"/>
    <d v="2026-02-19T00:00:00"/>
  </r>
  <r>
    <s v="C0184"/>
    <x v="1"/>
    <x v="5"/>
    <s v="Medium"/>
    <s v="Resolved"/>
    <n v="4"/>
    <s v="2025-06-09"/>
    <x v="4"/>
    <s v="Farmer"/>
    <s v="No"/>
    <s v="Garbage Collection"/>
    <s v="Walk in"/>
    <s v="Garbage not collected for 3 days"/>
    <n v="4"/>
    <s v="No"/>
    <n v="7"/>
    <s v="Within SLA"/>
    <s v="Off185"/>
    <n v="13"/>
    <n v="10"/>
    <n v="34554"/>
    <n v="32628"/>
    <s v="No"/>
    <s v="None"/>
    <d v="2025-06-13T00:00:00"/>
  </r>
  <r>
    <s v="C0185"/>
    <x v="0"/>
    <x v="3"/>
    <s v="Medium"/>
    <s v="In Progress"/>
    <n v="8"/>
    <s v="2025-10-31"/>
    <x v="4"/>
    <s v="Business Owner"/>
    <s v="Yes"/>
    <s v="Water Leakage"/>
    <s v="Email"/>
    <s v="Water pipe leakage near school"/>
    <n v="4"/>
    <s v="No"/>
    <n v="7"/>
    <s v="Delayed"/>
    <s v="Off186"/>
    <n v="13"/>
    <n v="46"/>
    <n v="2163"/>
    <n v="3166"/>
    <s v="Yes"/>
    <s v="Level 2"/>
    <d v="2025-11-08T00:00:00"/>
  </r>
  <r>
    <s v="C0186"/>
    <x v="0"/>
    <x v="9"/>
    <s v="Medium"/>
    <s v="Closed"/>
    <n v="28"/>
    <s v="2025-09-18"/>
    <x v="0"/>
    <s v="Business Owner"/>
    <s v="Yes"/>
    <s v="Water Leakage"/>
    <s v="Mobile App"/>
    <s v="Water pipe leakage near school"/>
    <n v="4"/>
    <s v="No"/>
    <n v="7"/>
    <s v="Delayed"/>
    <s v="Off187"/>
    <n v="8"/>
    <n v="44"/>
    <n v="13185"/>
    <n v="14756"/>
    <s v="Yes"/>
    <s v="Level 2"/>
    <d v="2025-10-16T00:00:00"/>
  </r>
  <r>
    <s v="C0187"/>
    <x v="5"/>
    <x v="9"/>
    <s v="Low"/>
    <s v="Resolved"/>
    <n v="16"/>
    <s v="2025-10-24"/>
    <x v="2"/>
    <s v="General"/>
    <s v="Yes"/>
    <s v="General Complaint"/>
    <s v="Website"/>
    <s v="General complaint reported"/>
    <n v="2"/>
    <s v="Yes"/>
    <n v="15"/>
    <s v="Delayed"/>
    <s v="Off188"/>
    <n v="9"/>
    <n v="20"/>
    <n v="27433"/>
    <n v="26843"/>
    <s v="Yes"/>
    <s v="Level 1"/>
    <d v="2025-11-09T00:00:00"/>
  </r>
  <r>
    <s v="C0188"/>
    <x v="2"/>
    <x v="1"/>
    <s v="Medium"/>
    <s v="Closed"/>
    <n v="11"/>
    <s v="2026-04-21"/>
    <x v="2"/>
    <s v="General"/>
    <s v="Yes"/>
    <s v="Road Damage"/>
    <s v="Helpline"/>
    <s v="Road damaged due to heavy rain"/>
    <n v="3"/>
    <s v="No"/>
    <n v="7"/>
    <s v="Delayed"/>
    <s v="Off189"/>
    <n v="9"/>
    <n v="28"/>
    <n v="27432"/>
    <n v="29394"/>
    <s v="Yes"/>
    <s v="Level 2"/>
    <d v="2026-05-02T00:00:00"/>
  </r>
  <r>
    <s v="C0189"/>
    <x v="4"/>
    <x v="3"/>
    <s v="High"/>
    <s v="In Progress"/>
    <n v="6"/>
    <s v="2026-01-27"/>
    <x v="2"/>
    <s v="Farmer"/>
    <s v="No"/>
    <s v="General Complaint"/>
    <s v="Walk in"/>
    <s v="General complaint reported"/>
    <n v="5"/>
    <s v="No"/>
    <n v="3"/>
    <s v="Delayed"/>
    <s v="Off190"/>
    <n v="5"/>
    <n v="25"/>
    <n v="13336"/>
    <n v="14171"/>
    <s v="Yes"/>
    <s v="Level 3"/>
    <d v="2026-02-02T00:00:00"/>
  </r>
  <r>
    <s v="C0190"/>
    <x v="0"/>
    <x v="5"/>
    <s v="High"/>
    <s v="Resolved"/>
    <n v="22"/>
    <s v="2025-01-03"/>
    <x v="3"/>
    <s v="Senior Citizen"/>
    <s v="Yes"/>
    <s v="Water Leakage"/>
    <s v="Email"/>
    <s v="Water pipe leakage near school"/>
    <n v="3"/>
    <s v="No"/>
    <n v="3"/>
    <s v="Delayed"/>
    <s v="Off191"/>
    <n v="14"/>
    <n v="18"/>
    <n v="43837"/>
    <n v="41958"/>
    <s v="Yes"/>
    <s v="Level 3"/>
    <d v="2025-01-25T00:00:00"/>
  </r>
  <r>
    <s v="C0191"/>
    <x v="3"/>
    <x v="6"/>
    <s v="Medium"/>
    <s v="Resolved"/>
    <n v="13"/>
    <s v="2025-03-17"/>
    <x v="3"/>
    <s v="Student"/>
    <s v="Yes"/>
    <s v="Public Transport Delay"/>
    <s v="Mobile App"/>
    <s v="Bus arrival delay reported"/>
    <n v="4"/>
    <s v="No"/>
    <n v="7"/>
    <s v="Delayed"/>
    <s v="Off192"/>
    <n v="11"/>
    <n v="12"/>
    <n v="18088"/>
    <n v="17095"/>
    <s v="Yes"/>
    <s v="Level 2"/>
    <d v="2025-03-30T00:00:00"/>
  </r>
  <r>
    <s v="C0192"/>
    <x v="1"/>
    <x v="3"/>
    <s v="Low"/>
    <s v="In Progress"/>
    <n v="5"/>
    <s v="2026-01-21"/>
    <x v="5"/>
    <s v="Farmer"/>
    <s v="No"/>
    <s v="Garbage Collection"/>
    <s v="Website"/>
    <s v="Garbage not collected for 3 days"/>
    <n v="4"/>
    <s v="No"/>
    <n v="15"/>
    <s v="Within SLA"/>
    <s v="Off193"/>
    <n v="15"/>
    <n v="26"/>
    <n v="1646"/>
    <n v="-77"/>
    <s v="No"/>
    <s v="None"/>
    <d v="2026-01-26T00:00:00"/>
  </r>
  <r>
    <s v="C0193"/>
    <x v="3"/>
    <x v="5"/>
    <s v="Medium"/>
    <s v="Closed"/>
    <n v="17"/>
    <s v="2026-03-25"/>
    <x v="2"/>
    <s v="Business Owner"/>
    <s v="Yes"/>
    <s v="Public Transport Delay"/>
    <s v="Helpline"/>
    <s v="Bus arrival delay reported"/>
    <n v="1"/>
    <s v="Yes"/>
    <n v="7"/>
    <s v="Delayed"/>
    <s v="Off194"/>
    <n v="10"/>
    <n v="25"/>
    <n v="48263"/>
    <n v="48380"/>
    <s v="Yes"/>
    <s v="Level 2"/>
    <d v="2026-04-11T00:00:00"/>
  </r>
  <r>
    <s v="C0194"/>
    <x v="2"/>
    <x v="8"/>
    <s v="Medium"/>
    <s v="Open"/>
    <n v="7"/>
    <s v="2025-10-26"/>
    <x v="2"/>
    <s v="Business Owner"/>
    <s v="No"/>
    <s v="Road Damage"/>
    <s v="Walk in"/>
    <s v="Road damaged due to heavy rain"/>
    <n v="4"/>
    <s v="No"/>
    <n v="7"/>
    <s v="Within SLA"/>
    <s v="Off195"/>
    <n v="8"/>
    <n v="31"/>
    <n v="16201"/>
    <n v="16076"/>
    <s v="No"/>
    <s v="None"/>
    <d v="2025-11-02T00:00:00"/>
  </r>
  <r>
    <s v="C0195"/>
    <x v="0"/>
    <x v="4"/>
    <s v="Medium"/>
    <s v="Open"/>
    <n v="24"/>
    <s v="2025-08-18"/>
    <x v="2"/>
    <s v="Business Owner"/>
    <s v="Yes"/>
    <s v="Water Leakage"/>
    <s v="Email"/>
    <s v="Water pipe leakage near school"/>
    <n v="5"/>
    <s v="No"/>
    <n v="7"/>
    <s v="Delayed"/>
    <s v="Off196"/>
    <n v="13"/>
    <n v="15"/>
    <n v="24266"/>
    <n v="24535"/>
    <s v="Yes"/>
    <s v="Level 2"/>
    <d v="2025-09-11T00:00:00"/>
  </r>
  <r>
    <s v="C0196"/>
    <x v="5"/>
    <x v="6"/>
    <s v="Low"/>
    <s v="Resolved"/>
    <n v="4"/>
    <s v="2025-08-10"/>
    <x v="2"/>
    <s v="Student"/>
    <s v="No"/>
    <s v="General Complaint"/>
    <s v="Mobile App"/>
    <s v="General complaint reported"/>
    <n v="4"/>
    <s v="No"/>
    <n v="15"/>
    <s v="Within SLA"/>
    <s v="Off197"/>
    <n v="10"/>
    <n v="44"/>
    <n v="23537"/>
    <n v="23134"/>
    <s v="No"/>
    <s v="None"/>
    <d v="2025-08-14T00:00:00"/>
  </r>
  <r>
    <s v="C0197"/>
    <x v="2"/>
    <x v="7"/>
    <s v="High"/>
    <s v="Open"/>
    <n v="22"/>
    <s v="2025-06-13"/>
    <x v="3"/>
    <s v="General"/>
    <s v="Yes"/>
    <s v="Road Damage"/>
    <s v="Website"/>
    <s v="Road damaged due to heavy rain"/>
    <n v="4"/>
    <s v="No"/>
    <n v="3"/>
    <s v="Delayed"/>
    <s v="Off198"/>
    <n v="6"/>
    <n v="8"/>
    <n v="36879"/>
    <n v="35763"/>
    <s v="Yes"/>
    <s v="Level 3"/>
    <d v="2025-07-05T00:00:00"/>
  </r>
  <r>
    <s v="C0198"/>
    <x v="0"/>
    <x v="7"/>
    <s v="Low"/>
    <s v="Open"/>
    <n v="39"/>
    <s v="2025-06-05"/>
    <x v="1"/>
    <s v="Farmer"/>
    <s v="Yes"/>
    <s v="Water Leakage"/>
    <s v="Helpline"/>
    <s v="Water pipe leakage near school"/>
    <n v="5"/>
    <s v="No"/>
    <n v="15"/>
    <s v="Delayed"/>
    <s v="Off199"/>
    <n v="2"/>
    <n v="12"/>
    <n v="26882"/>
    <n v="28272"/>
    <s v="Yes"/>
    <s v="Level 1"/>
    <d v="2025-07-14T00:00:00"/>
  </r>
  <r>
    <s v="C0199"/>
    <x v="1"/>
    <x v="8"/>
    <s v="High"/>
    <s v="In Progress"/>
    <n v="0"/>
    <s v="2025-05-13"/>
    <x v="4"/>
    <s v="Student"/>
    <s v="No"/>
    <s v="Garbage Collection"/>
    <s v="Walk in"/>
    <s v="Garbage not collected for 3 days"/>
    <n v="4"/>
    <s v="No"/>
    <n v="3"/>
    <s v="Within SLA"/>
    <s v="Off200"/>
    <n v="8"/>
    <n v="17"/>
    <n v="48317"/>
    <n v="46393"/>
    <s v="No"/>
    <s v="None"/>
    <d v="2025-05-13T00:00:00"/>
  </r>
  <r>
    <s v="C0200"/>
    <x v="0"/>
    <x v="5"/>
    <s v="Low"/>
    <s v="In Progress"/>
    <n v="29"/>
    <s v="2025-08-25"/>
    <x v="0"/>
    <s v="Student"/>
    <s v="Yes"/>
    <s v="Water Leakage"/>
    <s v="Email"/>
    <s v="Water pipe leakage near school"/>
    <n v="5"/>
    <s v="No"/>
    <n v="15"/>
    <s v="Delayed"/>
    <s v="Off201"/>
    <n v="4"/>
    <n v="46"/>
    <n v="43025"/>
    <n v="41123"/>
    <s v="Yes"/>
    <s v="Level 1"/>
    <d v="2025-09-23T00:00:00"/>
  </r>
  <r>
    <s v="C0201"/>
    <x v="1"/>
    <x v="1"/>
    <s v="High"/>
    <s v="Open"/>
    <n v="22"/>
    <s v="2026-03-09"/>
    <x v="1"/>
    <s v="Senior Citizen"/>
    <s v="Yes"/>
    <s v="Garbage Collection"/>
    <s v="Mobile App"/>
    <s v="Garbage not collected for 3 days"/>
    <n v="5"/>
    <s v="No"/>
    <n v="3"/>
    <s v="Delayed"/>
    <s v="Off202"/>
    <n v="6"/>
    <n v="38"/>
    <n v="32355"/>
    <n v="30664"/>
    <s v="Yes"/>
    <s v="Level 3"/>
    <d v="2026-03-31T00:00:00"/>
  </r>
  <r>
    <s v="C0202"/>
    <x v="4"/>
    <x v="0"/>
    <s v="High"/>
    <s v="Open"/>
    <n v="7"/>
    <s v="2025-06-10"/>
    <x v="3"/>
    <s v="Student"/>
    <s v="No"/>
    <s v="General Complaint"/>
    <s v="Website"/>
    <s v="General complaint reported"/>
    <n v="5"/>
    <s v="No"/>
    <n v="3"/>
    <s v="Delayed"/>
    <s v="Off203"/>
    <n v="14"/>
    <n v="9"/>
    <n v="1050"/>
    <n v="2248"/>
    <s v="Yes"/>
    <s v="Level 3"/>
    <d v="2025-06-17T00:00:00"/>
  </r>
  <r>
    <s v="C0203"/>
    <x v="5"/>
    <x v="3"/>
    <s v="Low"/>
    <s v="In Progress"/>
    <n v="26"/>
    <s v="2026-01-29"/>
    <x v="2"/>
    <s v="General"/>
    <s v="Yes"/>
    <s v="General Complaint"/>
    <s v="Helpline"/>
    <s v="General complaint reported"/>
    <n v="5"/>
    <s v="No"/>
    <n v="15"/>
    <s v="Delayed"/>
    <s v="Off204"/>
    <n v="1"/>
    <n v="34"/>
    <n v="34383"/>
    <n v="34374"/>
    <s v="Yes"/>
    <s v="Level 1"/>
    <d v="2026-02-24T00:00:00"/>
  </r>
  <r>
    <s v="C0204"/>
    <x v="3"/>
    <x v="0"/>
    <s v="Low"/>
    <s v="Open"/>
    <n v="41"/>
    <s v="2026-04-07"/>
    <x v="4"/>
    <s v="Senior Citizen"/>
    <s v="Yes"/>
    <s v="Public Transport Delay"/>
    <s v="Walk in"/>
    <s v="Bus arrival delay reported"/>
    <n v="5"/>
    <s v="No"/>
    <n v="15"/>
    <s v="Delayed"/>
    <s v="Off205"/>
    <n v="8"/>
    <n v="41"/>
    <n v="25382"/>
    <n v="23556"/>
    <s v="Yes"/>
    <s v="Level 1"/>
    <d v="2026-05-18T00:00:00"/>
  </r>
  <r>
    <s v="C0205"/>
    <x v="5"/>
    <x v="0"/>
    <s v="Medium"/>
    <s v="In Progress"/>
    <n v="34"/>
    <s v="2025-10-02"/>
    <x v="3"/>
    <s v="Business Owner"/>
    <s v="Yes"/>
    <s v="General Complaint"/>
    <s v="Email"/>
    <s v="General complaint reported"/>
    <n v="2"/>
    <s v="Yes"/>
    <n v="7"/>
    <s v="Delayed"/>
    <s v="Off206"/>
    <n v="2"/>
    <n v="17"/>
    <n v="1484"/>
    <n v="2703"/>
    <s v="Yes"/>
    <s v="Level 2"/>
    <d v="2025-11-05T00:00:00"/>
  </r>
  <r>
    <s v="C0206"/>
    <x v="3"/>
    <x v="2"/>
    <s v="Low"/>
    <s v="In Progress"/>
    <n v="8"/>
    <s v="2026-02-27"/>
    <x v="1"/>
    <s v="Senior Citizen"/>
    <s v="Yes"/>
    <s v="Public Transport Delay"/>
    <s v="Mobile App"/>
    <s v="Bus arrival delay reported"/>
    <n v="3"/>
    <s v="No"/>
    <n v="15"/>
    <s v="Within SLA"/>
    <s v="Off207"/>
    <n v="14"/>
    <n v="26"/>
    <n v="18946"/>
    <n v="20099"/>
    <s v="No"/>
    <s v="None"/>
    <d v="2026-03-07T00:00:00"/>
  </r>
  <r>
    <s v="C0207"/>
    <x v="3"/>
    <x v="9"/>
    <s v="High"/>
    <s v="Resolved"/>
    <n v="20"/>
    <s v="2025-06-16"/>
    <x v="4"/>
    <s v="Senior Citizen"/>
    <s v="Yes"/>
    <s v="Public Transport Delay"/>
    <s v="Website"/>
    <s v="Bus arrival delay reported"/>
    <n v="1"/>
    <s v="Yes"/>
    <n v="3"/>
    <s v="Delayed"/>
    <s v="Off208"/>
    <n v="3"/>
    <n v="31"/>
    <n v="35379"/>
    <n v="34012"/>
    <s v="Yes"/>
    <s v="Level 3"/>
    <d v="2025-07-06T00:00:00"/>
  </r>
  <r>
    <s v="C0208"/>
    <x v="4"/>
    <x v="3"/>
    <s v="Low"/>
    <s v="Open"/>
    <n v="20"/>
    <s v="2025-10-20"/>
    <x v="5"/>
    <s v="General"/>
    <s v="Yes"/>
    <s v="General Complaint"/>
    <s v="Helpline"/>
    <s v="General complaint reported"/>
    <n v="3"/>
    <s v="No"/>
    <n v="15"/>
    <s v="Delayed"/>
    <s v="Off209"/>
    <n v="4"/>
    <n v="19"/>
    <n v="39430"/>
    <n v="40371"/>
    <s v="Yes"/>
    <s v="Level 1"/>
    <d v="2025-11-09T00:00:00"/>
  </r>
  <r>
    <s v="C0209"/>
    <x v="5"/>
    <x v="0"/>
    <s v="High"/>
    <s v="Closed"/>
    <n v="17"/>
    <s v="2025-08-24"/>
    <x v="1"/>
    <s v="Business Owner"/>
    <s v="Yes"/>
    <s v="General Complaint"/>
    <s v="Walk in"/>
    <s v="General complaint reported"/>
    <n v="1"/>
    <s v="Yes"/>
    <n v="3"/>
    <s v="Delayed"/>
    <s v="Off210"/>
    <n v="14"/>
    <n v="8"/>
    <n v="31852"/>
    <n v="32567"/>
    <s v="Yes"/>
    <s v="Level 3"/>
    <d v="2025-09-10T00:00:00"/>
  </r>
  <r>
    <s v="C0210"/>
    <x v="0"/>
    <x v="9"/>
    <s v="High"/>
    <s v="Open"/>
    <n v="25"/>
    <s v="2025-08-16"/>
    <x v="5"/>
    <s v="Student"/>
    <s v="Yes"/>
    <s v="Water Leakage"/>
    <s v="Email"/>
    <s v="Water pipe leakage near school"/>
    <n v="3"/>
    <s v="No"/>
    <n v="3"/>
    <s v="Delayed"/>
    <s v="Off211"/>
    <n v="14"/>
    <n v="46"/>
    <n v="35932"/>
    <n v="37287"/>
    <s v="Yes"/>
    <s v="Level 3"/>
    <d v="2025-09-10T00:00:00"/>
  </r>
  <r>
    <s v="C0211"/>
    <x v="3"/>
    <x v="3"/>
    <s v="High"/>
    <s v="Closed"/>
    <n v="16"/>
    <s v="2025-04-06"/>
    <x v="4"/>
    <s v="Farmer"/>
    <s v="Yes"/>
    <s v="Public Transport Delay"/>
    <s v="Mobile App"/>
    <s v="Bus arrival delay reported"/>
    <n v="2"/>
    <s v="Yes"/>
    <n v="3"/>
    <s v="Delayed"/>
    <s v="Off212"/>
    <n v="8"/>
    <n v="49"/>
    <n v="13089"/>
    <n v="13248"/>
    <s v="Yes"/>
    <s v="Level 3"/>
    <d v="2025-04-22T00:00:00"/>
  </r>
  <r>
    <s v="C0212"/>
    <x v="4"/>
    <x v="7"/>
    <s v="Medium"/>
    <s v="In Progress"/>
    <n v="12"/>
    <s v="2026-04-27"/>
    <x v="1"/>
    <s v="General"/>
    <s v="Yes"/>
    <s v="General Complaint"/>
    <s v="Website"/>
    <s v="General complaint reported"/>
    <n v="3"/>
    <s v="No"/>
    <n v="7"/>
    <s v="Delayed"/>
    <s v="Off213"/>
    <n v="9"/>
    <n v="42"/>
    <n v="38415"/>
    <n v="39743"/>
    <s v="Yes"/>
    <s v="Level 2"/>
    <d v="2026-05-09T00:00:00"/>
  </r>
  <r>
    <s v="C0213"/>
    <x v="4"/>
    <x v="5"/>
    <s v="Low"/>
    <s v="Open"/>
    <n v="16"/>
    <s v="2025-12-09"/>
    <x v="0"/>
    <s v="Business Owner"/>
    <s v="Yes"/>
    <s v="General Complaint"/>
    <s v="Helpline"/>
    <s v="General complaint reported"/>
    <n v="2"/>
    <s v="Yes"/>
    <n v="15"/>
    <s v="Delayed"/>
    <s v="Off214"/>
    <n v="8"/>
    <n v="14"/>
    <n v="46173"/>
    <n v="44363"/>
    <s v="Yes"/>
    <s v="Level 1"/>
    <d v="2025-12-25T00:00:00"/>
  </r>
  <r>
    <s v="C0214"/>
    <x v="5"/>
    <x v="9"/>
    <s v="High"/>
    <s v="Closed"/>
    <n v="5"/>
    <s v="2025-06-07"/>
    <x v="1"/>
    <s v="Business Owner"/>
    <s v="No"/>
    <s v="General Complaint"/>
    <s v="Walk in"/>
    <s v="General complaint reported"/>
    <n v="4"/>
    <s v="No"/>
    <n v="3"/>
    <s v="Delayed"/>
    <s v="Off215"/>
    <n v="3"/>
    <n v="14"/>
    <n v="47361"/>
    <n v="45398"/>
    <s v="Yes"/>
    <s v="Level 3"/>
    <d v="2025-06-12T00:00:00"/>
  </r>
  <r>
    <s v="C0215"/>
    <x v="1"/>
    <x v="5"/>
    <s v="High"/>
    <s v="Open"/>
    <n v="15"/>
    <s v="2025-04-16"/>
    <x v="1"/>
    <s v="Business Owner"/>
    <s v="Yes"/>
    <s v="Garbage Collection"/>
    <s v="Email"/>
    <s v="Garbage not collected for 3 days"/>
    <n v="1"/>
    <s v="Yes"/>
    <n v="3"/>
    <s v="Delayed"/>
    <s v="Off216"/>
    <n v="11"/>
    <n v="48"/>
    <n v="22484"/>
    <n v="21701"/>
    <s v="Yes"/>
    <s v="Level 3"/>
    <d v="2025-05-01T00:00:00"/>
  </r>
  <r>
    <s v="C0216"/>
    <x v="0"/>
    <x v="1"/>
    <s v="High"/>
    <s v="Closed"/>
    <n v="10"/>
    <s v="2025-11-12"/>
    <x v="0"/>
    <s v="General"/>
    <s v="Yes"/>
    <s v="Water Leakage"/>
    <s v="Mobile App"/>
    <s v="Water pipe leakage near school"/>
    <n v="1"/>
    <s v="Yes"/>
    <n v="3"/>
    <s v="Delayed"/>
    <s v="Off217"/>
    <n v="15"/>
    <n v="34"/>
    <n v="8597"/>
    <n v="7618"/>
    <s v="Yes"/>
    <s v="Level 3"/>
    <d v="2025-11-22T00:00:00"/>
  </r>
  <r>
    <s v="C0217"/>
    <x v="4"/>
    <x v="3"/>
    <s v="Low"/>
    <s v="Closed"/>
    <n v="27"/>
    <s v="2025-04-03"/>
    <x v="4"/>
    <s v="Senior Citizen"/>
    <s v="Yes"/>
    <s v="General Complaint"/>
    <s v="Website"/>
    <s v="General complaint reported"/>
    <n v="4"/>
    <s v="No"/>
    <n v="15"/>
    <s v="Delayed"/>
    <s v="Off218"/>
    <n v="13"/>
    <n v="15"/>
    <n v="34286"/>
    <n v="35884"/>
    <s v="Yes"/>
    <s v="Level 1"/>
    <d v="2025-04-30T00:00:00"/>
  </r>
  <r>
    <s v="C0218"/>
    <x v="3"/>
    <x v="1"/>
    <s v="Low"/>
    <s v="Closed"/>
    <n v="19"/>
    <s v="2025-04-23"/>
    <x v="5"/>
    <s v="Student"/>
    <s v="Yes"/>
    <s v="Public Transport Delay"/>
    <s v="Helpline"/>
    <s v="Bus arrival delay reported"/>
    <n v="2"/>
    <s v="Yes"/>
    <n v="15"/>
    <s v="Delayed"/>
    <s v="Off219"/>
    <n v="8"/>
    <n v="26"/>
    <n v="34329"/>
    <n v="32761"/>
    <s v="Yes"/>
    <s v="Level 1"/>
    <d v="2025-05-12T00:00:00"/>
  </r>
  <r>
    <s v="C0219"/>
    <x v="4"/>
    <x v="2"/>
    <s v="High"/>
    <s v="Resolved"/>
    <n v="30"/>
    <s v="2025-02-18"/>
    <x v="3"/>
    <s v="Senior Citizen"/>
    <s v="Yes"/>
    <s v="General Complaint"/>
    <s v="Walk in"/>
    <s v="General complaint reported"/>
    <n v="3"/>
    <s v="No"/>
    <n v="3"/>
    <s v="Delayed"/>
    <s v="Off220"/>
    <n v="15"/>
    <n v="7"/>
    <n v="18459"/>
    <n v="16782"/>
    <s v="Yes"/>
    <s v="Level 3"/>
    <d v="2025-03-20T00:00:00"/>
  </r>
  <r>
    <s v="C0220"/>
    <x v="5"/>
    <x v="4"/>
    <s v="High"/>
    <s v="Closed"/>
    <n v="24"/>
    <s v="2025-08-13"/>
    <x v="5"/>
    <s v="Senior Citizen"/>
    <s v="Yes"/>
    <s v="General Complaint"/>
    <s v="Email"/>
    <s v="General complaint reported"/>
    <n v="1"/>
    <s v="Yes"/>
    <n v="3"/>
    <s v="Delayed"/>
    <s v="Off221"/>
    <n v="2"/>
    <n v="24"/>
    <n v="10262"/>
    <n v="11014"/>
    <s v="Yes"/>
    <s v="Level 3"/>
    <d v="2025-09-06T00:00:00"/>
  </r>
  <r>
    <s v="C0221"/>
    <x v="5"/>
    <x v="0"/>
    <s v="Medium"/>
    <s v="In Progress"/>
    <n v="34"/>
    <s v="2025-03-06"/>
    <x v="5"/>
    <s v="Farmer"/>
    <s v="Yes"/>
    <s v="General Complaint"/>
    <s v="Mobile App"/>
    <s v="General complaint reported"/>
    <n v="5"/>
    <s v="No"/>
    <n v="7"/>
    <s v="Delayed"/>
    <s v="Off222"/>
    <n v="11"/>
    <n v="25"/>
    <n v="4686"/>
    <n v="3078"/>
    <s v="Yes"/>
    <s v="Level 2"/>
    <d v="2025-04-09T00:00:00"/>
  </r>
  <r>
    <s v="C0222"/>
    <x v="4"/>
    <x v="6"/>
    <s v="Medium"/>
    <s v="Resolved"/>
    <n v="1"/>
    <s v="2025-11-19"/>
    <x v="4"/>
    <s v="Student"/>
    <s v="No"/>
    <s v="General Complaint"/>
    <s v="Website"/>
    <s v="General complaint reported"/>
    <n v="1"/>
    <s v="Yes"/>
    <n v="7"/>
    <s v="Within SLA"/>
    <s v="Off223"/>
    <n v="10"/>
    <n v="47"/>
    <n v="21292"/>
    <n v="19977"/>
    <s v="No"/>
    <s v="None"/>
    <d v="2025-11-20T00:00:00"/>
  </r>
  <r>
    <s v="C0223"/>
    <x v="3"/>
    <x v="8"/>
    <s v="Medium"/>
    <s v="In Progress"/>
    <n v="17"/>
    <s v="2026-06-11"/>
    <x v="1"/>
    <s v="Student"/>
    <s v="Yes"/>
    <s v="Public Transport Delay"/>
    <s v="Helpline"/>
    <s v="Bus arrival delay reported"/>
    <n v="3"/>
    <s v="No"/>
    <n v="7"/>
    <s v="Delayed"/>
    <s v="Off224"/>
    <n v="11"/>
    <n v="49"/>
    <n v="6022"/>
    <n v="5045"/>
    <s v="Yes"/>
    <s v="Level 2"/>
    <d v="2026-06-28T00:00:00"/>
  </r>
  <r>
    <s v="C0224"/>
    <x v="0"/>
    <x v="4"/>
    <s v="Medium"/>
    <s v="Resolved"/>
    <n v="30"/>
    <s v="2025-12-20"/>
    <x v="5"/>
    <s v="Farmer"/>
    <s v="Yes"/>
    <s v="Water Leakage"/>
    <s v="Walk in"/>
    <s v="Water pipe leakage near school"/>
    <n v="2"/>
    <s v="Yes"/>
    <n v="7"/>
    <s v="Delayed"/>
    <s v="Off225"/>
    <n v="9"/>
    <n v="17"/>
    <n v="44744"/>
    <n v="42937"/>
    <s v="Yes"/>
    <s v="Level 2"/>
    <d v="2026-01-19T00:00:00"/>
  </r>
  <r>
    <s v="C0225"/>
    <x v="5"/>
    <x v="1"/>
    <s v="Medium"/>
    <s v="Resolved"/>
    <n v="29"/>
    <s v="2026-01-21"/>
    <x v="0"/>
    <s v="Farmer"/>
    <s v="Yes"/>
    <s v="General Complaint"/>
    <s v="Email"/>
    <s v="General complaint reported"/>
    <n v="3"/>
    <s v="No"/>
    <n v="7"/>
    <s v="Delayed"/>
    <s v="Off226"/>
    <n v="12"/>
    <n v="24"/>
    <n v="9687"/>
    <n v="8494"/>
    <s v="Yes"/>
    <s v="Level 2"/>
    <d v="2026-02-19T00:00:00"/>
  </r>
  <r>
    <s v="C0226"/>
    <x v="2"/>
    <x v="7"/>
    <s v="Low"/>
    <s v="Resolved"/>
    <n v="27"/>
    <s v="2026-04-26"/>
    <x v="3"/>
    <s v="Business Owner"/>
    <s v="Yes"/>
    <s v="Road Damage"/>
    <s v="Mobile App"/>
    <s v="Road damaged due to heavy rain"/>
    <n v="3"/>
    <s v="No"/>
    <n v="15"/>
    <s v="Delayed"/>
    <s v="Off227"/>
    <n v="4"/>
    <n v="15"/>
    <n v="34858"/>
    <n v="34270"/>
    <s v="Yes"/>
    <s v="Level 1"/>
    <d v="2026-05-23T00:00:00"/>
  </r>
  <r>
    <s v="C0227"/>
    <x v="5"/>
    <x v="2"/>
    <s v="Low"/>
    <s v="Resolved"/>
    <n v="19"/>
    <s v="2025-02-06"/>
    <x v="4"/>
    <s v="Student"/>
    <s v="Yes"/>
    <s v="General Complaint"/>
    <s v="Website"/>
    <s v="General complaint reported"/>
    <n v="3"/>
    <s v="No"/>
    <n v="15"/>
    <s v="Delayed"/>
    <s v="Off228"/>
    <n v="11"/>
    <n v="20"/>
    <n v="19865"/>
    <n v="19747"/>
    <s v="Yes"/>
    <s v="Level 1"/>
    <d v="2025-02-25T00:00:00"/>
  </r>
  <r>
    <s v="C0228"/>
    <x v="5"/>
    <x v="0"/>
    <s v="Medium"/>
    <s v="Open"/>
    <n v="37"/>
    <s v="2025-01-12"/>
    <x v="5"/>
    <s v="Business Owner"/>
    <s v="Yes"/>
    <s v="General Complaint"/>
    <s v="Helpline"/>
    <s v="General complaint reported"/>
    <n v="4"/>
    <s v="No"/>
    <n v="7"/>
    <s v="Delayed"/>
    <s v="Off229"/>
    <n v="2"/>
    <n v="46"/>
    <n v="18078"/>
    <n v="16666"/>
    <s v="Yes"/>
    <s v="Level 2"/>
    <d v="2025-02-18T00:00:00"/>
  </r>
  <r>
    <s v="C0229"/>
    <x v="5"/>
    <x v="0"/>
    <s v="Low"/>
    <s v="Resolved"/>
    <n v="10"/>
    <s v="2025-10-17"/>
    <x v="3"/>
    <s v="Farmer"/>
    <s v="Yes"/>
    <s v="General Complaint"/>
    <s v="Walk in"/>
    <s v="General complaint reported"/>
    <n v="3"/>
    <s v="No"/>
    <n v="15"/>
    <s v="Within SLA"/>
    <s v="Off230"/>
    <n v="3"/>
    <n v="18"/>
    <n v="8313"/>
    <n v="7811"/>
    <s v="No"/>
    <s v="None"/>
    <d v="2025-10-27T00:00:00"/>
  </r>
  <r>
    <s v="C0230"/>
    <x v="3"/>
    <x v="3"/>
    <s v="Medium"/>
    <s v="Open"/>
    <n v="1"/>
    <s v="2026-02-27"/>
    <x v="0"/>
    <s v="Farmer"/>
    <s v="No"/>
    <s v="Public Transport Delay"/>
    <s v="Email"/>
    <s v="Bus arrival delay reported"/>
    <n v="3"/>
    <s v="No"/>
    <n v="7"/>
    <s v="Within SLA"/>
    <s v="Off231"/>
    <n v="15"/>
    <n v="43"/>
    <n v="33448"/>
    <n v="34124"/>
    <s v="No"/>
    <s v="None"/>
    <d v="2026-02-28T00:00:00"/>
  </r>
  <r>
    <s v="C0231"/>
    <x v="3"/>
    <x v="8"/>
    <s v="Medium"/>
    <s v="Closed"/>
    <n v="26"/>
    <s v="2026-05-12"/>
    <x v="3"/>
    <s v="Senior Citizen"/>
    <s v="Yes"/>
    <s v="Public Transport Delay"/>
    <s v="Mobile App"/>
    <s v="Bus arrival delay reported"/>
    <n v="5"/>
    <s v="No"/>
    <n v="7"/>
    <s v="Delayed"/>
    <s v="Off232"/>
    <n v="6"/>
    <n v="19"/>
    <n v="39308"/>
    <n v="37882"/>
    <s v="Yes"/>
    <s v="Level 2"/>
    <d v="2026-06-07T00:00:00"/>
  </r>
  <r>
    <s v="C0232"/>
    <x v="0"/>
    <x v="9"/>
    <s v="Low"/>
    <s v="Closed"/>
    <n v="8"/>
    <s v="2025-11-01"/>
    <x v="2"/>
    <s v="Student"/>
    <s v="Yes"/>
    <s v="Water Leakage"/>
    <s v="Website"/>
    <s v="Water pipe leakage near school"/>
    <n v="3"/>
    <s v="No"/>
    <n v="15"/>
    <s v="Within SLA"/>
    <s v="Off233"/>
    <n v="11"/>
    <n v="42"/>
    <n v="23536"/>
    <n v="24030"/>
    <s v="No"/>
    <s v="None"/>
    <d v="2025-11-09T00:00:00"/>
  </r>
  <r>
    <s v="C0233"/>
    <x v="0"/>
    <x v="3"/>
    <s v="High"/>
    <s v="In Progress"/>
    <n v="37"/>
    <s v="2025-01-25"/>
    <x v="1"/>
    <s v="Farmer"/>
    <s v="Yes"/>
    <s v="Water Leakage"/>
    <s v="Helpline"/>
    <s v="Water pipe leakage near school"/>
    <n v="1"/>
    <s v="Yes"/>
    <n v="3"/>
    <s v="Delayed"/>
    <s v="Off234"/>
    <n v="3"/>
    <n v="44"/>
    <n v="31186"/>
    <n v="29191"/>
    <s v="Yes"/>
    <s v="Level 3"/>
    <d v="2025-03-03T00:00:00"/>
  </r>
  <r>
    <s v="C0234"/>
    <x v="0"/>
    <x v="9"/>
    <s v="Medium"/>
    <s v="Open"/>
    <n v="32"/>
    <s v="2025-10-19"/>
    <x v="1"/>
    <s v="Farmer"/>
    <s v="Yes"/>
    <s v="Water Leakage"/>
    <s v="Walk in"/>
    <s v="Water pipe leakage near school"/>
    <n v="2"/>
    <s v="Yes"/>
    <n v="7"/>
    <s v="Delayed"/>
    <s v="Off235"/>
    <n v="7"/>
    <n v="15"/>
    <n v="32160"/>
    <n v="32712"/>
    <s v="Yes"/>
    <s v="Level 2"/>
    <d v="2025-11-20T00:00:00"/>
  </r>
  <r>
    <s v="C0235"/>
    <x v="3"/>
    <x v="5"/>
    <s v="Medium"/>
    <s v="In Progress"/>
    <n v="4"/>
    <s v="2025-05-30"/>
    <x v="0"/>
    <s v="Business Owner"/>
    <s v="No"/>
    <s v="Public Transport Delay"/>
    <s v="Email"/>
    <s v="Bus arrival delay reported"/>
    <n v="4"/>
    <s v="No"/>
    <n v="7"/>
    <s v="Within SLA"/>
    <s v="Off236"/>
    <n v="2"/>
    <n v="40"/>
    <n v="37450"/>
    <n v="37510"/>
    <s v="No"/>
    <s v="None"/>
    <d v="2025-06-03T00:00:00"/>
  </r>
  <r>
    <s v="C0236"/>
    <x v="4"/>
    <x v="2"/>
    <s v="Low"/>
    <s v="Closed"/>
    <n v="2"/>
    <s v="2025-10-14"/>
    <x v="2"/>
    <s v="Senior Citizen"/>
    <s v="No"/>
    <s v="General Complaint"/>
    <s v="Mobile App"/>
    <s v="General complaint reported"/>
    <n v="2"/>
    <s v="Yes"/>
    <n v="15"/>
    <s v="Within SLA"/>
    <s v="Off237"/>
    <n v="2"/>
    <n v="27"/>
    <n v="34447"/>
    <n v="32589"/>
    <s v="No"/>
    <s v="None"/>
    <d v="2025-10-16T00:00:00"/>
  </r>
  <r>
    <s v="C0237"/>
    <x v="3"/>
    <x v="6"/>
    <s v="Low"/>
    <s v="Open"/>
    <n v="1"/>
    <s v="2025-03-29"/>
    <x v="2"/>
    <s v="Student"/>
    <s v="No"/>
    <s v="Public Transport Delay"/>
    <s v="Website"/>
    <s v="Bus arrival delay reported"/>
    <n v="4"/>
    <s v="No"/>
    <n v="15"/>
    <s v="Within SLA"/>
    <s v="Off238"/>
    <n v="4"/>
    <n v="47"/>
    <n v="48540"/>
    <n v="48454"/>
    <s v="No"/>
    <s v="None"/>
    <d v="2025-03-30T00:00:00"/>
  </r>
  <r>
    <s v="C0238"/>
    <x v="0"/>
    <x v="6"/>
    <s v="High"/>
    <s v="Resolved"/>
    <n v="21"/>
    <s v="2025-12-23"/>
    <x v="0"/>
    <s v="General"/>
    <s v="Yes"/>
    <s v="Water Leakage"/>
    <s v="Helpline"/>
    <s v="Water pipe leakage near school"/>
    <n v="3"/>
    <s v="No"/>
    <n v="3"/>
    <s v="Delayed"/>
    <s v="Off239"/>
    <n v="12"/>
    <n v="34"/>
    <n v="3489"/>
    <n v="3867"/>
    <s v="Yes"/>
    <s v="Level 3"/>
    <d v="2026-01-13T00:00:00"/>
  </r>
  <r>
    <s v="C0239"/>
    <x v="5"/>
    <x v="5"/>
    <s v="Medium"/>
    <s v="Open"/>
    <n v="40"/>
    <s v="2026-02-26"/>
    <x v="1"/>
    <s v="Student"/>
    <s v="Yes"/>
    <s v="General Complaint"/>
    <s v="Walk in"/>
    <s v="General complaint reported"/>
    <n v="1"/>
    <s v="Yes"/>
    <n v="7"/>
    <s v="Delayed"/>
    <s v="Off240"/>
    <n v="9"/>
    <n v="18"/>
    <n v="31851"/>
    <n v="29896"/>
    <s v="Yes"/>
    <s v="Level 2"/>
    <d v="2026-04-07T00:00:00"/>
  </r>
  <r>
    <s v="C0240"/>
    <x v="2"/>
    <x v="4"/>
    <s v="High"/>
    <s v="In Progress"/>
    <n v="14"/>
    <s v="2026-02-28"/>
    <x v="2"/>
    <s v="Senior Citizen"/>
    <s v="Yes"/>
    <s v="Road Damage"/>
    <s v="Email"/>
    <s v="Road damaged due to heavy rain"/>
    <n v="1"/>
    <s v="Yes"/>
    <n v="3"/>
    <s v="Delayed"/>
    <s v="Off241"/>
    <n v="4"/>
    <n v="16"/>
    <n v="48337"/>
    <n v="48598"/>
    <s v="Yes"/>
    <s v="Level 3"/>
    <d v="2026-03-14T00:00:00"/>
  </r>
  <r>
    <s v="C0241"/>
    <x v="2"/>
    <x v="5"/>
    <s v="High"/>
    <s v="Closed"/>
    <n v="17"/>
    <s v="2025-07-04"/>
    <x v="0"/>
    <s v="Business Owner"/>
    <s v="Yes"/>
    <s v="Road Damage"/>
    <s v="Mobile App"/>
    <s v="Road damaged due to heavy rain"/>
    <n v="2"/>
    <s v="Yes"/>
    <n v="3"/>
    <s v="Delayed"/>
    <s v="Off242"/>
    <n v="5"/>
    <n v="45"/>
    <n v="10672"/>
    <n v="11011"/>
    <s v="Yes"/>
    <s v="Level 3"/>
    <d v="2025-07-21T00:00:00"/>
  </r>
  <r>
    <s v="C0242"/>
    <x v="0"/>
    <x v="9"/>
    <s v="Low"/>
    <s v="In Progress"/>
    <n v="39"/>
    <s v="2025-08-02"/>
    <x v="0"/>
    <s v="Business Owner"/>
    <s v="Yes"/>
    <s v="Water Leakage"/>
    <s v="Website"/>
    <s v="Water pipe leakage near school"/>
    <n v="1"/>
    <s v="Yes"/>
    <n v="15"/>
    <s v="Delayed"/>
    <s v="Off243"/>
    <n v="1"/>
    <n v="27"/>
    <n v="1906"/>
    <n v="3614"/>
    <s v="Yes"/>
    <s v="Level 1"/>
    <d v="2025-09-10T00:00:00"/>
  </r>
  <r>
    <s v="C0243"/>
    <x v="3"/>
    <x v="1"/>
    <s v="High"/>
    <s v="Closed"/>
    <n v="15"/>
    <s v="2026-02-27"/>
    <x v="2"/>
    <s v="Senior Citizen"/>
    <s v="Yes"/>
    <s v="Public Transport Delay"/>
    <s v="Helpline"/>
    <s v="Bus arrival delay reported"/>
    <n v="5"/>
    <s v="No"/>
    <n v="3"/>
    <s v="Delayed"/>
    <s v="Off244"/>
    <n v="11"/>
    <n v="20"/>
    <n v="24396"/>
    <n v="22661"/>
    <s v="Yes"/>
    <s v="Level 3"/>
    <d v="2026-03-14T00:00:00"/>
  </r>
  <r>
    <s v="C0244"/>
    <x v="1"/>
    <x v="6"/>
    <s v="Low"/>
    <s v="In Progress"/>
    <n v="28"/>
    <s v="2025-08-08"/>
    <x v="0"/>
    <s v="Senior Citizen"/>
    <s v="Yes"/>
    <s v="Garbage Collection"/>
    <s v="Walk in"/>
    <s v="Garbage not collected for 3 days"/>
    <n v="5"/>
    <s v="No"/>
    <n v="15"/>
    <s v="Delayed"/>
    <s v="Off245"/>
    <n v="11"/>
    <n v="40"/>
    <n v="27613"/>
    <n v="26438"/>
    <s v="Yes"/>
    <s v="Level 1"/>
    <d v="2025-09-05T00:00:00"/>
  </r>
  <r>
    <s v="C0245"/>
    <x v="1"/>
    <x v="8"/>
    <s v="Low"/>
    <s v="Open"/>
    <n v="35"/>
    <s v="2025-10-05"/>
    <x v="0"/>
    <s v="Senior Citizen"/>
    <s v="Yes"/>
    <s v="Garbage Collection"/>
    <s v="Email"/>
    <s v="Garbage not collected for 3 days"/>
    <n v="4"/>
    <s v="No"/>
    <n v="15"/>
    <s v="Delayed"/>
    <s v="Off246"/>
    <n v="1"/>
    <n v="30"/>
    <n v="43296"/>
    <n v="43887"/>
    <s v="Yes"/>
    <s v="Level 1"/>
    <d v="2025-11-09T00:00:00"/>
  </r>
  <r>
    <s v="C0246"/>
    <x v="0"/>
    <x v="0"/>
    <s v="High"/>
    <s v="In Progress"/>
    <n v="9"/>
    <s v="2025-08-30"/>
    <x v="1"/>
    <s v="General"/>
    <s v="Yes"/>
    <s v="Water Leakage"/>
    <s v="Mobile App"/>
    <s v="Water pipe leakage near school"/>
    <n v="4"/>
    <s v="No"/>
    <n v="3"/>
    <s v="Delayed"/>
    <s v="Off247"/>
    <n v="10"/>
    <n v="5"/>
    <n v="11585"/>
    <n v="9811"/>
    <s v="Yes"/>
    <s v="Level 3"/>
    <d v="2025-09-08T00:00:00"/>
  </r>
  <r>
    <s v="C0247"/>
    <x v="3"/>
    <x v="8"/>
    <s v="High"/>
    <s v="Resolved"/>
    <n v="22"/>
    <s v="2025-05-28"/>
    <x v="1"/>
    <s v="General"/>
    <s v="Yes"/>
    <s v="Public Transport Delay"/>
    <s v="Website"/>
    <s v="Bus arrival delay reported"/>
    <n v="4"/>
    <s v="No"/>
    <n v="3"/>
    <s v="Delayed"/>
    <s v="Off248"/>
    <n v="4"/>
    <n v="41"/>
    <n v="23107"/>
    <n v="22551"/>
    <s v="Yes"/>
    <s v="Level 3"/>
    <d v="2025-06-19T00:00:00"/>
  </r>
  <r>
    <s v="C0248"/>
    <x v="5"/>
    <x v="1"/>
    <s v="High"/>
    <s v="Resolved"/>
    <n v="24"/>
    <s v="2025-07-11"/>
    <x v="5"/>
    <s v="Student"/>
    <s v="Yes"/>
    <s v="General Complaint"/>
    <s v="Helpline"/>
    <s v="General complaint reported"/>
    <n v="2"/>
    <s v="Yes"/>
    <n v="3"/>
    <s v="Delayed"/>
    <s v="Off249"/>
    <n v="14"/>
    <n v="29"/>
    <n v="5009"/>
    <n v="5721"/>
    <s v="Yes"/>
    <s v="Level 3"/>
    <d v="2025-08-04T00:00:00"/>
  </r>
  <r>
    <s v="C0249"/>
    <x v="4"/>
    <x v="9"/>
    <s v="Medium"/>
    <s v="Closed"/>
    <n v="8"/>
    <s v="2026-06-09"/>
    <x v="3"/>
    <s v="Farmer"/>
    <s v="Yes"/>
    <s v="General Complaint"/>
    <s v="Walk in"/>
    <s v="General complaint reported"/>
    <n v="4"/>
    <s v="No"/>
    <n v="7"/>
    <s v="Delayed"/>
    <s v="Off250"/>
    <n v="9"/>
    <n v="29"/>
    <n v="10314"/>
    <n v="10487"/>
    <s v="Yes"/>
    <s v="Level 2"/>
    <d v="2026-06-17T00:00:00"/>
  </r>
  <r>
    <s v="C0250"/>
    <x v="4"/>
    <x v="3"/>
    <s v="Medium"/>
    <s v="Closed"/>
    <n v="14"/>
    <s v="2025-10-04"/>
    <x v="5"/>
    <s v="General"/>
    <s v="Yes"/>
    <s v="General Complaint"/>
    <s v="Email"/>
    <s v="General complaint reported"/>
    <n v="2"/>
    <s v="Yes"/>
    <n v="7"/>
    <s v="Delayed"/>
    <s v="Off251"/>
    <n v="8"/>
    <n v="19"/>
    <n v="47512"/>
    <n v="47068"/>
    <s v="Yes"/>
    <s v="Level 2"/>
    <d v="2025-10-18T00:00:00"/>
  </r>
  <r>
    <s v="C0251"/>
    <x v="3"/>
    <x v="6"/>
    <s v="Medium"/>
    <s v="Resolved"/>
    <n v="17"/>
    <s v="2026-04-27"/>
    <x v="3"/>
    <s v="Farmer"/>
    <s v="Yes"/>
    <s v="Public Transport Delay"/>
    <s v="Mobile App"/>
    <s v="Bus arrival delay reported"/>
    <n v="4"/>
    <s v="No"/>
    <n v="7"/>
    <s v="Delayed"/>
    <s v="Off252"/>
    <n v="12"/>
    <n v="17"/>
    <n v="10257"/>
    <n v="9801"/>
    <s v="Yes"/>
    <s v="Level 2"/>
    <d v="2026-05-14T00:00:00"/>
  </r>
  <r>
    <s v="C0252"/>
    <x v="3"/>
    <x v="0"/>
    <s v="High"/>
    <s v="Closed"/>
    <n v="8"/>
    <s v="2025-01-19"/>
    <x v="3"/>
    <s v="Student"/>
    <s v="Yes"/>
    <s v="Public Transport Delay"/>
    <s v="Website"/>
    <s v="Bus arrival delay reported"/>
    <n v="3"/>
    <s v="No"/>
    <n v="3"/>
    <s v="Delayed"/>
    <s v="Off253"/>
    <n v="13"/>
    <n v="23"/>
    <n v="38180"/>
    <n v="37770"/>
    <s v="Yes"/>
    <s v="Level 3"/>
    <d v="2025-01-27T00:00:00"/>
  </r>
  <r>
    <s v="C0253"/>
    <x v="4"/>
    <x v="3"/>
    <s v="Low"/>
    <s v="Closed"/>
    <n v="20"/>
    <s v="2025-01-08"/>
    <x v="5"/>
    <s v="Senior Citizen"/>
    <s v="Yes"/>
    <s v="General Complaint"/>
    <s v="Helpline"/>
    <s v="General complaint reported"/>
    <n v="4"/>
    <s v="No"/>
    <n v="15"/>
    <s v="Delayed"/>
    <s v="Off254"/>
    <n v="11"/>
    <n v="15"/>
    <n v="49072"/>
    <n v="49805"/>
    <s v="Yes"/>
    <s v="Level 1"/>
    <d v="2025-01-28T00:00:00"/>
  </r>
  <r>
    <s v="C0254"/>
    <x v="4"/>
    <x v="8"/>
    <s v="Low"/>
    <s v="Resolved"/>
    <n v="18"/>
    <s v="2025-09-03"/>
    <x v="0"/>
    <s v="Senior Citizen"/>
    <s v="Yes"/>
    <s v="General Complaint"/>
    <s v="Walk in"/>
    <s v="General complaint reported"/>
    <n v="5"/>
    <s v="No"/>
    <n v="15"/>
    <s v="Delayed"/>
    <s v="Off255"/>
    <n v="11"/>
    <n v="25"/>
    <n v="14102"/>
    <n v="14990"/>
    <s v="Yes"/>
    <s v="Level 1"/>
    <d v="2025-09-21T00:00:00"/>
  </r>
  <r>
    <s v="C0255"/>
    <x v="5"/>
    <x v="0"/>
    <s v="Low"/>
    <s v="Closed"/>
    <n v="17"/>
    <s v="2025-12-21"/>
    <x v="0"/>
    <s v="Business Owner"/>
    <s v="Yes"/>
    <s v="General Complaint"/>
    <s v="Email"/>
    <s v="General complaint reported"/>
    <n v="1"/>
    <s v="Yes"/>
    <n v="15"/>
    <s v="Delayed"/>
    <s v="Off256"/>
    <n v="11"/>
    <n v="7"/>
    <n v="16916"/>
    <n v="17933"/>
    <s v="Yes"/>
    <s v="Level 1"/>
    <d v="2026-01-07T00:00:00"/>
  </r>
  <r>
    <s v="C0256"/>
    <x v="2"/>
    <x v="9"/>
    <s v="Low"/>
    <s v="Resolved"/>
    <n v="10"/>
    <s v="2025-01-25"/>
    <x v="0"/>
    <s v="General"/>
    <s v="Yes"/>
    <s v="Road Damage"/>
    <s v="Mobile App"/>
    <s v="Road damaged due to heavy rain"/>
    <n v="1"/>
    <s v="Yes"/>
    <n v="15"/>
    <s v="Within SLA"/>
    <s v="Off257"/>
    <n v="11"/>
    <n v="34"/>
    <n v="24767"/>
    <n v="25651"/>
    <s v="No"/>
    <s v="None"/>
    <d v="2025-02-04T00:00:00"/>
  </r>
  <r>
    <s v="C0257"/>
    <x v="2"/>
    <x v="9"/>
    <s v="High"/>
    <s v="In Progress"/>
    <n v="18"/>
    <s v="2025-07-08"/>
    <x v="2"/>
    <s v="Business Owner"/>
    <s v="Yes"/>
    <s v="Road Damage"/>
    <s v="Website"/>
    <s v="Road damaged due to heavy rain"/>
    <n v="2"/>
    <s v="Yes"/>
    <n v="3"/>
    <s v="Delayed"/>
    <s v="Off258"/>
    <n v="4"/>
    <n v="11"/>
    <n v="3547"/>
    <n v="2446"/>
    <s v="Yes"/>
    <s v="Level 3"/>
    <d v="2025-07-26T00:00:00"/>
  </r>
  <r>
    <s v="C0258"/>
    <x v="0"/>
    <x v="4"/>
    <s v="Low"/>
    <s v="Closed"/>
    <n v="1"/>
    <s v="2026-04-02"/>
    <x v="0"/>
    <s v="Senior Citizen"/>
    <s v="No"/>
    <s v="Water Leakage"/>
    <s v="Helpline"/>
    <s v="Water pipe leakage near school"/>
    <n v="4"/>
    <s v="No"/>
    <n v="15"/>
    <s v="Within SLA"/>
    <s v="Off259"/>
    <n v="12"/>
    <n v="20"/>
    <n v="42940"/>
    <n v="43831"/>
    <s v="No"/>
    <s v="None"/>
    <d v="2026-04-03T00:00:00"/>
  </r>
  <r>
    <s v="C0259"/>
    <x v="0"/>
    <x v="9"/>
    <s v="Low"/>
    <s v="In Progress"/>
    <n v="31"/>
    <s v="2026-02-23"/>
    <x v="3"/>
    <s v="General"/>
    <s v="Yes"/>
    <s v="Water Leakage"/>
    <s v="Walk in"/>
    <s v="Water pipe leakage near school"/>
    <n v="4"/>
    <s v="No"/>
    <n v="15"/>
    <s v="Delayed"/>
    <s v="Off260"/>
    <n v="1"/>
    <n v="20"/>
    <n v="15213"/>
    <n v="16795"/>
    <s v="Yes"/>
    <s v="Level 1"/>
    <d v="2026-03-26T00:00:00"/>
  </r>
  <r>
    <s v="C0260"/>
    <x v="2"/>
    <x v="6"/>
    <s v="Medium"/>
    <s v="Open"/>
    <n v="16"/>
    <s v="2025-11-21"/>
    <x v="2"/>
    <s v="General"/>
    <s v="Yes"/>
    <s v="Road Damage"/>
    <s v="Email"/>
    <s v="Road damaged due to heavy rain"/>
    <n v="5"/>
    <s v="No"/>
    <n v="7"/>
    <s v="Delayed"/>
    <s v="Off261"/>
    <n v="13"/>
    <n v="22"/>
    <n v="20568"/>
    <n v="18595"/>
    <s v="Yes"/>
    <s v="Level 2"/>
    <d v="2025-12-07T00:00:00"/>
  </r>
  <r>
    <s v="C0261"/>
    <x v="3"/>
    <x v="7"/>
    <s v="High"/>
    <s v="Resolved"/>
    <n v="30"/>
    <s v="2025-08-13"/>
    <x v="0"/>
    <s v="Farmer"/>
    <s v="Yes"/>
    <s v="Public Transport Delay"/>
    <s v="Mobile App"/>
    <s v="Bus arrival delay reported"/>
    <n v="1"/>
    <s v="Yes"/>
    <n v="3"/>
    <s v="Delayed"/>
    <s v="Off262"/>
    <n v="6"/>
    <n v="17"/>
    <n v="49847"/>
    <n v="48077"/>
    <s v="Yes"/>
    <s v="Level 3"/>
    <d v="2025-09-12T00:00:00"/>
  </r>
  <r>
    <s v="C0262"/>
    <x v="1"/>
    <x v="5"/>
    <s v="Medium"/>
    <s v="Open"/>
    <n v="3"/>
    <s v="2026-05-25"/>
    <x v="3"/>
    <s v="Farmer"/>
    <s v="No"/>
    <s v="Garbage Collection"/>
    <s v="Website"/>
    <s v="Garbage not collected for 3 days"/>
    <n v="3"/>
    <s v="No"/>
    <n v="7"/>
    <s v="Within SLA"/>
    <s v="Off263"/>
    <n v="7"/>
    <n v="26"/>
    <n v="10630"/>
    <n v="12610"/>
    <s v="No"/>
    <s v="None"/>
    <d v="2026-05-28T00:00:00"/>
  </r>
  <r>
    <s v="C0263"/>
    <x v="1"/>
    <x v="4"/>
    <s v="High"/>
    <s v="Resolved"/>
    <n v="18"/>
    <s v="2025-08-22"/>
    <x v="1"/>
    <s v="Business Owner"/>
    <s v="Yes"/>
    <s v="Garbage Collection"/>
    <s v="Helpline"/>
    <s v="Garbage not collected for 3 days"/>
    <n v="3"/>
    <s v="No"/>
    <n v="3"/>
    <s v="Delayed"/>
    <s v="Off264"/>
    <n v="1"/>
    <n v="49"/>
    <n v="7843"/>
    <n v="8557"/>
    <s v="Yes"/>
    <s v="Level 3"/>
    <d v="2025-09-09T00:00:00"/>
  </r>
  <r>
    <s v="C0264"/>
    <x v="4"/>
    <x v="3"/>
    <s v="Medium"/>
    <s v="Closed"/>
    <n v="11"/>
    <s v="2025-09-29"/>
    <x v="0"/>
    <s v="Senior Citizen"/>
    <s v="Yes"/>
    <s v="General Complaint"/>
    <s v="Walk in"/>
    <s v="General complaint reported"/>
    <n v="4"/>
    <s v="No"/>
    <n v="7"/>
    <s v="Delayed"/>
    <s v="Off265"/>
    <n v="8"/>
    <n v="42"/>
    <n v="47559"/>
    <n v="48516"/>
    <s v="Yes"/>
    <s v="Level 2"/>
    <d v="2025-10-10T00:00:00"/>
  </r>
  <r>
    <s v="C0265"/>
    <x v="0"/>
    <x v="1"/>
    <s v="Medium"/>
    <s v="Open"/>
    <n v="39"/>
    <s v="2026-03-05"/>
    <x v="3"/>
    <s v="Business Owner"/>
    <s v="Yes"/>
    <s v="Water Leakage"/>
    <s v="Email"/>
    <s v="Water pipe leakage near school"/>
    <n v="4"/>
    <s v="No"/>
    <n v="7"/>
    <s v="Delayed"/>
    <s v="Off266"/>
    <n v="3"/>
    <n v="19"/>
    <n v="5962"/>
    <n v="6749"/>
    <s v="Yes"/>
    <s v="Level 2"/>
    <d v="2026-04-13T00:00:00"/>
  </r>
  <r>
    <s v="C0266"/>
    <x v="3"/>
    <x v="6"/>
    <s v="Low"/>
    <s v="Closed"/>
    <n v="20"/>
    <s v="2025-06-07"/>
    <x v="0"/>
    <s v="Student"/>
    <s v="Yes"/>
    <s v="Public Transport Delay"/>
    <s v="Mobile App"/>
    <s v="Bus arrival delay reported"/>
    <n v="3"/>
    <s v="No"/>
    <n v="15"/>
    <s v="Delayed"/>
    <s v="Off267"/>
    <n v="9"/>
    <n v="35"/>
    <n v="12433"/>
    <n v="11244"/>
    <s v="Yes"/>
    <s v="Level 1"/>
    <d v="2025-06-27T00:00:00"/>
  </r>
  <r>
    <s v="C0267"/>
    <x v="2"/>
    <x v="6"/>
    <s v="High"/>
    <s v="In Progress"/>
    <n v="25"/>
    <s v="2025-05-26"/>
    <x v="0"/>
    <s v="Business Owner"/>
    <s v="Yes"/>
    <s v="Road Damage"/>
    <s v="Website"/>
    <s v="Road damaged due to heavy rain"/>
    <n v="3"/>
    <s v="No"/>
    <n v="3"/>
    <s v="Delayed"/>
    <s v="Off268"/>
    <n v="5"/>
    <n v="50"/>
    <n v="28662"/>
    <n v="30601"/>
    <s v="Yes"/>
    <s v="Level 3"/>
    <d v="2025-06-20T00:00:00"/>
  </r>
  <r>
    <s v="C0268"/>
    <x v="3"/>
    <x v="8"/>
    <s v="High"/>
    <s v="Closed"/>
    <n v="17"/>
    <s v="2025-06-22"/>
    <x v="4"/>
    <s v="Senior Citizen"/>
    <s v="Yes"/>
    <s v="Public Transport Delay"/>
    <s v="Helpline"/>
    <s v="Bus arrival delay reported"/>
    <n v="3"/>
    <s v="No"/>
    <n v="3"/>
    <s v="Delayed"/>
    <s v="Off269"/>
    <n v="10"/>
    <n v="18"/>
    <n v="39234"/>
    <n v="38591"/>
    <s v="Yes"/>
    <s v="Level 3"/>
    <d v="2025-07-09T00:00:00"/>
  </r>
  <r>
    <s v="C0269"/>
    <x v="2"/>
    <x v="4"/>
    <s v="High"/>
    <s v="Closed"/>
    <n v="5"/>
    <s v="2026-03-04"/>
    <x v="2"/>
    <s v="Senior Citizen"/>
    <s v="No"/>
    <s v="Road Damage"/>
    <s v="Walk in"/>
    <s v="Road damaged due to heavy rain"/>
    <n v="1"/>
    <s v="Yes"/>
    <n v="3"/>
    <s v="Delayed"/>
    <s v="Off270"/>
    <n v="4"/>
    <n v="28"/>
    <n v="4940"/>
    <n v="5613"/>
    <s v="Yes"/>
    <s v="Level 3"/>
    <d v="2026-03-09T00:00:00"/>
  </r>
  <r>
    <s v="C0270"/>
    <x v="0"/>
    <x v="6"/>
    <s v="High"/>
    <s v="In Progress"/>
    <n v="25"/>
    <s v="2025-12-11"/>
    <x v="2"/>
    <s v="General"/>
    <s v="Yes"/>
    <s v="Water Leakage"/>
    <s v="Email"/>
    <s v="Water pipe leakage near school"/>
    <n v="5"/>
    <s v="No"/>
    <n v="3"/>
    <s v="Delayed"/>
    <s v="Off271"/>
    <n v="4"/>
    <n v="22"/>
    <n v="47614"/>
    <n v="47114"/>
    <s v="Yes"/>
    <s v="Level 3"/>
    <d v="2026-01-05T00:00:00"/>
  </r>
  <r>
    <s v="C0271"/>
    <x v="0"/>
    <x v="6"/>
    <s v="Low"/>
    <s v="In Progress"/>
    <n v="11"/>
    <s v="2025-08-14"/>
    <x v="1"/>
    <s v="Student"/>
    <s v="Yes"/>
    <s v="Water Leakage"/>
    <s v="Mobile App"/>
    <s v="Water pipe leakage near school"/>
    <n v="3"/>
    <s v="No"/>
    <n v="15"/>
    <s v="Within SLA"/>
    <s v="Off272"/>
    <n v="10"/>
    <n v="28"/>
    <n v="31462"/>
    <n v="29730"/>
    <s v="No"/>
    <s v="None"/>
    <d v="2025-08-25T00:00:00"/>
  </r>
  <r>
    <s v="C0272"/>
    <x v="5"/>
    <x v="1"/>
    <s v="Medium"/>
    <s v="In Progress"/>
    <n v="7"/>
    <s v="2026-05-27"/>
    <x v="3"/>
    <s v="Student"/>
    <s v="No"/>
    <s v="General Complaint"/>
    <s v="Website"/>
    <s v="General complaint reported"/>
    <n v="1"/>
    <s v="Yes"/>
    <n v="7"/>
    <s v="Within SLA"/>
    <s v="Off273"/>
    <n v="9"/>
    <n v="32"/>
    <n v="40762"/>
    <n v="39662"/>
    <s v="No"/>
    <s v="None"/>
    <d v="2026-06-03T00:00:00"/>
  </r>
  <r>
    <s v="C0273"/>
    <x v="4"/>
    <x v="0"/>
    <s v="Medium"/>
    <s v="In Progress"/>
    <n v="5"/>
    <s v="2026-02-24"/>
    <x v="0"/>
    <s v="Student"/>
    <s v="No"/>
    <s v="General Complaint"/>
    <s v="Helpline"/>
    <s v="General complaint reported"/>
    <n v="4"/>
    <s v="No"/>
    <n v="7"/>
    <s v="Within SLA"/>
    <s v="Off274"/>
    <n v="14"/>
    <n v="15"/>
    <n v="39770"/>
    <n v="38126"/>
    <s v="No"/>
    <s v="None"/>
    <d v="2026-03-01T00:00:00"/>
  </r>
  <r>
    <s v="C0274"/>
    <x v="4"/>
    <x v="0"/>
    <s v="Low"/>
    <s v="Resolved"/>
    <n v="9"/>
    <s v="2026-03-05"/>
    <x v="1"/>
    <s v="Farmer"/>
    <s v="Yes"/>
    <s v="General Complaint"/>
    <s v="Walk in"/>
    <s v="General complaint reported"/>
    <n v="1"/>
    <s v="Yes"/>
    <n v="15"/>
    <s v="Within SLA"/>
    <s v="Off275"/>
    <n v="14"/>
    <n v="28"/>
    <n v="44467"/>
    <n v="44185"/>
    <s v="No"/>
    <s v="None"/>
    <d v="2026-03-14T00:00:00"/>
  </r>
  <r>
    <s v="C0275"/>
    <x v="5"/>
    <x v="3"/>
    <s v="Medium"/>
    <s v="Resolved"/>
    <n v="16"/>
    <s v="2026-02-04"/>
    <x v="3"/>
    <s v="General"/>
    <s v="Yes"/>
    <s v="General Complaint"/>
    <s v="Email"/>
    <s v="General complaint reported"/>
    <n v="2"/>
    <s v="Yes"/>
    <n v="7"/>
    <s v="Delayed"/>
    <s v="Off276"/>
    <n v="15"/>
    <n v="30"/>
    <n v="23848"/>
    <n v="22300"/>
    <s v="Yes"/>
    <s v="Level 2"/>
    <d v="2026-02-20T00:00:00"/>
  </r>
  <r>
    <s v="C0276"/>
    <x v="2"/>
    <x v="6"/>
    <s v="Medium"/>
    <s v="Resolved"/>
    <n v="1"/>
    <s v="2025-09-03"/>
    <x v="2"/>
    <s v="Farmer"/>
    <s v="No"/>
    <s v="Road Damage"/>
    <s v="Mobile App"/>
    <s v="Road damaged due to heavy rain"/>
    <n v="2"/>
    <s v="Yes"/>
    <n v="7"/>
    <s v="Within SLA"/>
    <s v="Off277"/>
    <n v="6"/>
    <n v="35"/>
    <n v="31019"/>
    <n v="29558"/>
    <s v="No"/>
    <s v="None"/>
    <d v="2025-09-04T00:00:00"/>
  </r>
  <r>
    <s v="C0277"/>
    <x v="0"/>
    <x v="4"/>
    <s v="Medium"/>
    <s v="Open"/>
    <n v="17"/>
    <s v="2025-06-04"/>
    <x v="2"/>
    <s v="Business Owner"/>
    <s v="Yes"/>
    <s v="Water Leakage"/>
    <s v="Website"/>
    <s v="Water pipe leakage near school"/>
    <n v="3"/>
    <s v="No"/>
    <n v="7"/>
    <s v="Delayed"/>
    <s v="Off278"/>
    <n v="5"/>
    <n v="6"/>
    <n v="29240"/>
    <n v="28940"/>
    <s v="Yes"/>
    <s v="Level 2"/>
    <d v="2025-06-21T00:00:00"/>
  </r>
  <r>
    <s v="C0278"/>
    <x v="4"/>
    <x v="8"/>
    <s v="Medium"/>
    <s v="Closed"/>
    <n v="23"/>
    <s v="2025-09-09"/>
    <x v="0"/>
    <s v="General"/>
    <s v="Yes"/>
    <s v="General Complaint"/>
    <s v="Helpline"/>
    <s v="General complaint reported"/>
    <n v="2"/>
    <s v="Yes"/>
    <n v="7"/>
    <s v="Delayed"/>
    <s v="Off279"/>
    <n v="4"/>
    <n v="39"/>
    <n v="29839"/>
    <n v="28732"/>
    <s v="Yes"/>
    <s v="Level 2"/>
    <d v="2025-10-02T00:00:00"/>
  </r>
  <r>
    <s v="C0279"/>
    <x v="1"/>
    <x v="9"/>
    <s v="Low"/>
    <s v="Closed"/>
    <n v="25"/>
    <s v="2025-03-07"/>
    <x v="0"/>
    <s v="Business Owner"/>
    <s v="Yes"/>
    <s v="Garbage Collection"/>
    <s v="Walk in"/>
    <s v="Garbage not collected for 3 days"/>
    <n v="5"/>
    <s v="No"/>
    <n v="15"/>
    <s v="Delayed"/>
    <s v="Off280"/>
    <n v="4"/>
    <n v="16"/>
    <n v="32484"/>
    <n v="33547"/>
    <s v="Yes"/>
    <s v="Level 1"/>
    <d v="2025-04-01T00:00:00"/>
  </r>
  <r>
    <s v="C0280"/>
    <x v="4"/>
    <x v="1"/>
    <s v="Medium"/>
    <s v="Open"/>
    <n v="19"/>
    <s v="2026-04-06"/>
    <x v="4"/>
    <s v="Student"/>
    <s v="Yes"/>
    <s v="General Complaint"/>
    <s v="Email"/>
    <s v="General complaint reported"/>
    <n v="4"/>
    <s v="No"/>
    <n v="7"/>
    <s v="Delayed"/>
    <s v="Off281"/>
    <n v="5"/>
    <n v="33"/>
    <n v="45167"/>
    <n v="46808"/>
    <s v="Yes"/>
    <s v="Level 2"/>
    <d v="2026-04-25T00:00:00"/>
  </r>
  <r>
    <s v="C0281"/>
    <x v="4"/>
    <x v="4"/>
    <s v="Low"/>
    <s v="In Progress"/>
    <n v="31"/>
    <s v="2025-10-27"/>
    <x v="5"/>
    <s v="General"/>
    <s v="Yes"/>
    <s v="General Complaint"/>
    <s v="Mobile App"/>
    <s v="General complaint reported"/>
    <n v="5"/>
    <s v="No"/>
    <n v="15"/>
    <s v="Delayed"/>
    <s v="Off282"/>
    <n v="9"/>
    <n v="17"/>
    <n v="7868"/>
    <n v="7762"/>
    <s v="Yes"/>
    <s v="Level 1"/>
    <d v="2025-11-27T00:00:00"/>
  </r>
  <r>
    <s v="C0282"/>
    <x v="2"/>
    <x v="6"/>
    <s v="High"/>
    <s v="Open"/>
    <n v="26"/>
    <s v="2025-04-12"/>
    <x v="1"/>
    <s v="General"/>
    <s v="Yes"/>
    <s v="Road Damage"/>
    <s v="Website"/>
    <s v="Road damaged due to heavy rain"/>
    <n v="5"/>
    <s v="No"/>
    <n v="3"/>
    <s v="Delayed"/>
    <s v="Off283"/>
    <n v="2"/>
    <n v="50"/>
    <n v="40640"/>
    <n v="40466"/>
    <s v="Yes"/>
    <s v="Level 3"/>
    <d v="2025-05-08T00:00:00"/>
  </r>
  <r>
    <s v="C0283"/>
    <x v="2"/>
    <x v="0"/>
    <s v="Medium"/>
    <s v="Resolved"/>
    <n v="6"/>
    <s v="2025-05-31"/>
    <x v="3"/>
    <s v="Student"/>
    <s v="No"/>
    <s v="Road Damage"/>
    <s v="Helpline"/>
    <s v="Road damaged due to heavy rain"/>
    <n v="3"/>
    <s v="No"/>
    <n v="7"/>
    <s v="Within SLA"/>
    <s v="Off284"/>
    <n v="9"/>
    <n v="48"/>
    <n v="24278"/>
    <n v="23911"/>
    <s v="No"/>
    <s v="None"/>
    <d v="2025-06-06T00:00:00"/>
  </r>
  <r>
    <s v="C0284"/>
    <x v="2"/>
    <x v="9"/>
    <s v="High"/>
    <s v="Open"/>
    <n v="8"/>
    <s v="2025-02-16"/>
    <x v="5"/>
    <s v="Senior Citizen"/>
    <s v="Yes"/>
    <s v="Road Damage"/>
    <s v="Walk in"/>
    <s v="Road damaged due to heavy rain"/>
    <n v="4"/>
    <s v="No"/>
    <n v="3"/>
    <s v="Delayed"/>
    <s v="Off285"/>
    <n v="1"/>
    <n v="50"/>
    <n v="2171"/>
    <n v="185"/>
    <s v="Yes"/>
    <s v="Level 3"/>
    <d v="2025-02-24T00:00:00"/>
  </r>
  <r>
    <s v="C0285"/>
    <x v="1"/>
    <x v="9"/>
    <s v="Low"/>
    <s v="In Progress"/>
    <n v="26"/>
    <s v="2025-01-16"/>
    <x v="2"/>
    <s v="Farmer"/>
    <s v="Yes"/>
    <s v="Garbage Collection"/>
    <s v="Email"/>
    <s v="Garbage not collected for 3 days"/>
    <n v="4"/>
    <s v="No"/>
    <n v="15"/>
    <s v="Delayed"/>
    <s v="Off286"/>
    <n v="12"/>
    <n v="7"/>
    <n v="43560"/>
    <n v="45360"/>
    <s v="Yes"/>
    <s v="Level 1"/>
    <d v="2025-02-11T00:00:00"/>
  </r>
  <r>
    <s v="C0286"/>
    <x v="1"/>
    <x v="6"/>
    <s v="High"/>
    <s v="Resolved"/>
    <n v="8"/>
    <s v="2025-09-27"/>
    <x v="0"/>
    <s v="Student"/>
    <s v="Yes"/>
    <s v="Garbage Collection"/>
    <s v="Mobile App"/>
    <s v="Garbage not collected for 3 days"/>
    <n v="3"/>
    <s v="No"/>
    <n v="3"/>
    <s v="Delayed"/>
    <s v="Off287"/>
    <n v="1"/>
    <n v="35"/>
    <n v="49042"/>
    <n v="47344"/>
    <s v="Yes"/>
    <s v="Level 3"/>
    <d v="2025-10-05T00:00:00"/>
  </r>
  <r>
    <s v="C0287"/>
    <x v="0"/>
    <x v="0"/>
    <s v="Medium"/>
    <s v="Open"/>
    <n v="15"/>
    <s v="2026-05-07"/>
    <x v="0"/>
    <s v="Student"/>
    <s v="Yes"/>
    <s v="Water Leakage"/>
    <s v="Website"/>
    <s v="Water pipe leakage near school"/>
    <n v="4"/>
    <s v="No"/>
    <n v="7"/>
    <s v="Delayed"/>
    <s v="Off288"/>
    <n v="3"/>
    <n v="40"/>
    <n v="49161"/>
    <n v="48866"/>
    <s v="Yes"/>
    <s v="Level 2"/>
    <d v="2026-05-22T00:00:00"/>
  </r>
  <r>
    <s v="C0288"/>
    <x v="1"/>
    <x v="4"/>
    <s v="High"/>
    <s v="Open"/>
    <n v="35"/>
    <s v="2025-09-29"/>
    <x v="3"/>
    <s v="Farmer"/>
    <s v="Yes"/>
    <s v="Garbage Collection"/>
    <s v="Helpline"/>
    <s v="Garbage not collected for 3 days"/>
    <n v="1"/>
    <s v="Yes"/>
    <n v="3"/>
    <s v="Delayed"/>
    <s v="Off289"/>
    <n v="2"/>
    <n v="14"/>
    <n v="16716"/>
    <n v="17647"/>
    <s v="Yes"/>
    <s v="Level 3"/>
    <d v="2025-11-03T00:00:00"/>
  </r>
  <r>
    <s v="C0289"/>
    <x v="5"/>
    <x v="4"/>
    <s v="Low"/>
    <s v="In Progress"/>
    <n v="25"/>
    <s v="2025-02-02"/>
    <x v="0"/>
    <s v="Farmer"/>
    <s v="Yes"/>
    <s v="General Complaint"/>
    <s v="Walk in"/>
    <s v="General complaint reported"/>
    <n v="2"/>
    <s v="Yes"/>
    <n v="15"/>
    <s v="Delayed"/>
    <s v="Off290"/>
    <n v="8"/>
    <n v="8"/>
    <n v="34286"/>
    <n v="34437"/>
    <s v="Yes"/>
    <s v="Level 1"/>
    <d v="2025-02-27T00:00:00"/>
  </r>
  <r>
    <s v="C0290"/>
    <x v="4"/>
    <x v="4"/>
    <s v="Low"/>
    <s v="In Progress"/>
    <n v="36"/>
    <s v="2025-12-04"/>
    <x v="5"/>
    <s v="Farmer"/>
    <s v="Yes"/>
    <s v="General Complaint"/>
    <s v="Email"/>
    <s v="General complaint reported"/>
    <n v="2"/>
    <s v="Yes"/>
    <n v="15"/>
    <s v="Delayed"/>
    <s v="Off291"/>
    <n v="6"/>
    <n v="35"/>
    <n v="34941"/>
    <n v="36693"/>
    <s v="Yes"/>
    <s v="Level 1"/>
    <d v="2026-01-09T00:00:00"/>
  </r>
  <r>
    <s v="C0291"/>
    <x v="3"/>
    <x v="7"/>
    <s v="High"/>
    <s v="Open"/>
    <n v="43"/>
    <s v="2025-09-04"/>
    <x v="2"/>
    <s v="Business Owner"/>
    <s v="Yes"/>
    <s v="Public Transport Delay"/>
    <s v="Mobile App"/>
    <s v="Bus arrival delay reported"/>
    <n v="1"/>
    <s v="Yes"/>
    <n v="3"/>
    <s v="Delayed"/>
    <s v="Off292"/>
    <n v="10"/>
    <n v="32"/>
    <n v="3894"/>
    <n v="5779"/>
    <s v="Yes"/>
    <s v="Level 3"/>
    <d v="2025-10-17T00:00:00"/>
  </r>
  <r>
    <s v="C0292"/>
    <x v="3"/>
    <x v="4"/>
    <s v="High"/>
    <s v="In Progress"/>
    <n v="12"/>
    <s v="2025-02-16"/>
    <x v="4"/>
    <s v="Senior Citizen"/>
    <s v="Yes"/>
    <s v="Public Transport Delay"/>
    <s v="Website"/>
    <s v="Bus arrival delay reported"/>
    <n v="4"/>
    <s v="No"/>
    <n v="3"/>
    <s v="Delayed"/>
    <s v="Off293"/>
    <n v="14"/>
    <n v="39"/>
    <n v="38798"/>
    <n v="38829"/>
    <s v="Yes"/>
    <s v="Level 3"/>
    <d v="2025-02-28T00:00:00"/>
  </r>
  <r>
    <s v="C0293"/>
    <x v="1"/>
    <x v="2"/>
    <s v="Low"/>
    <s v="Resolved"/>
    <n v="2"/>
    <s v="2025-02-19"/>
    <x v="4"/>
    <s v="Student"/>
    <s v="No"/>
    <s v="Garbage Collection"/>
    <s v="Helpline"/>
    <s v="Garbage not collected for 3 days"/>
    <n v="2"/>
    <s v="Yes"/>
    <n v="15"/>
    <s v="Within SLA"/>
    <s v="Off294"/>
    <n v="8"/>
    <n v="34"/>
    <n v="30817"/>
    <n v="30887"/>
    <s v="No"/>
    <s v="None"/>
    <d v="2025-02-21T00:00:00"/>
  </r>
  <r>
    <s v="C0294"/>
    <x v="2"/>
    <x v="0"/>
    <s v="Medium"/>
    <s v="Resolved"/>
    <n v="14"/>
    <s v="2025-11-26"/>
    <x v="3"/>
    <s v="Senior Citizen"/>
    <s v="Yes"/>
    <s v="Road Damage"/>
    <s v="Walk in"/>
    <s v="Road damaged due to heavy rain"/>
    <n v="3"/>
    <s v="No"/>
    <n v="7"/>
    <s v="Delayed"/>
    <s v="Off295"/>
    <n v="3"/>
    <n v="14"/>
    <n v="9381"/>
    <n v="9499"/>
    <s v="Yes"/>
    <s v="Level 2"/>
    <d v="2025-12-10T00:00:00"/>
  </r>
  <r>
    <s v="C0295"/>
    <x v="1"/>
    <x v="5"/>
    <s v="High"/>
    <s v="Open"/>
    <n v="32"/>
    <s v="2026-05-03"/>
    <x v="4"/>
    <s v="Student"/>
    <s v="Yes"/>
    <s v="Garbage Collection"/>
    <s v="Email"/>
    <s v="Garbage not collected for 3 days"/>
    <n v="4"/>
    <s v="No"/>
    <n v="3"/>
    <s v="Delayed"/>
    <s v="Off296"/>
    <n v="15"/>
    <n v="18"/>
    <n v="25241"/>
    <n v="26961"/>
    <s v="Yes"/>
    <s v="Level 3"/>
    <d v="2026-06-04T00:00:00"/>
  </r>
  <r>
    <s v="C0296"/>
    <x v="2"/>
    <x v="6"/>
    <s v="High"/>
    <s v="Closed"/>
    <n v="21"/>
    <s v="2025-03-24"/>
    <x v="2"/>
    <s v="Senior Citizen"/>
    <s v="Yes"/>
    <s v="Road Damage"/>
    <s v="Mobile App"/>
    <s v="Road damaged due to heavy rain"/>
    <n v="2"/>
    <s v="Yes"/>
    <n v="3"/>
    <s v="Delayed"/>
    <s v="Off297"/>
    <n v="2"/>
    <n v="6"/>
    <n v="8886"/>
    <n v="8661"/>
    <s v="Yes"/>
    <s v="Level 3"/>
    <d v="2025-04-14T00:00:00"/>
  </r>
  <r>
    <s v="C0297"/>
    <x v="0"/>
    <x v="2"/>
    <s v="Medium"/>
    <s v="Resolved"/>
    <n v="2"/>
    <s v="2025-05-26"/>
    <x v="2"/>
    <s v="Farmer"/>
    <s v="No"/>
    <s v="Water Leakage"/>
    <s v="Website"/>
    <s v="Water pipe leakage near school"/>
    <n v="2"/>
    <s v="Yes"/>
    <n v="7"/>
    <s v="Within SLA"/>
    <s v="Off298"/>
    <n v="2"/>
    <n v="35"/>
    <n v="7998"/>
    <n v="9585"/>
    <s v="No"/>
    <s v="None"/>
    <d v="2025-05-28T00:00:00"/>
  </r>
  <r>
    <s v="C0298"/>
    <x v="2"/>
    <x v="3"/>
    <s v="Low"/>
    <s v="Closed"/>
    <n v="13"/>
    <s v="2025-05-24"/>
    <x v="1"/>
    <s v="Senior Citizen"/>
    <s v="Yes"/>
    <s v="Road Damage"/>
    <s v="Helpline"/>
    <s v="Road damaged due to heavy rain"/>
    <n v="1"/>
    <s v="Yes"/>
    <n v="15"/>
    <s v="Within SLA"/>
    <s v="Off299"/>
    <n v="8"/>
    <n v="27"/>
    <n v="25077"/>
    <n v="25532"/>
    <s v="No"/>
    <s v="None"/>
    <d v="2025-06-06T00:00:00"/>
  </r>
  <r>
    <s v="C0299"/>
    <x v="1"/>
    <x v="3"/>
    <s v="High"/>
    <s v="Open"/>
    <n v="18"/>
    <s v="2026-03-23"/>
    <x v="1"/>
    <s v="Business Owner"/>
    <s v="Yes"/>
    <s v="Garbage Collection"/>
    <s v="Walk in"/>
    <s v="Garbage not collected for 3 days"/>
    <n v="4"/>
    <s v="No"/>
    <n v="3"/>
    <s v="Delayed"/>
    <s v="Off300"/>
    <n v="5"/>
    <n v="39"/>
    <n v="24030"/>
    <n v="22490"/>
    <s v="Yes"/>
    <s v="Level 3"/>
    <d v="2026-04-10T00:00:00"/>
  </r>
  <r>
    <s v="C0300"/>
    <x v="0"/>
    <x v="1"/>
    <s v="Medium"/>
    <s v="Closed"/>
    <n v="12"/>
    <s v="2025-05-29"/>
    <x v="4"/>
    <s v="Senior Citizen"/>
    <s v="Yes"/>
    <s v="Water Leakage"/>
    <s v="Email"/>
    <s v="Water pipe leakage near school"/>
    <n v="5"/>
    <s v="No"/>
    <n v="7"/>
    <s v="Delayed"/>
    <s v="Off301"/>
    <n v="5"/>
    <n v="39"/>
    <n v="4580"/>
    <n v="4365"/>
    <s v="Yes"/>
    <s v="Level 2"/>
    <d v="2025-06-10T00:00:00"/>
  </r>
  <r>
    <s v="C0301"/>
    <x v="2"/>
    <x v="6"/>
    <s v="High"/>
    <s v="Resolved"/>
    <n v="15"/>
    <s v="2025-01-29"/>
    <x v="0"/>
    <s v="Student"/>
    <s v="Yes"/>
    <s v="Road Damage"/>
    <s v="Mobile App"/>
    <s v="Road damaged due to heavy rain"/>
    <n v="2"/>
    <s v="Yes"/>
    <n v="3"/>
    <s v="Delayed"/>
    <s v="Off302"/>
    <n v="10"/>
    <n v="5"/>
    <n v="32436"/>
    <n v="33249"/>
    <s v="Yes"/>
    <s v="Level 3"/>
    <d v="2025-02-13T00:00:00"/>
  </r>
  <r>
    <s v="C0302"/>
    <x v="5"/>
    <x v="0"/>
    <s v="Medium"/>
    <s v="Resolved"/>
    <n v="27"/>
    <s v="2025-12-09"/>
    <x v="1"/>
    <s v="Student"/>
    <s v="Yes"/>
    <s v="General Complaint"/>
    <s v="Website"/>
    <s v="General complaint reported"/>
    <n v="1"/>
    <s v="Yes"/>
    <n v="7"/>
    <s v="Delayed"/>
    <s v="Off303"/>
    <n v="11"/>
    <n v="8"/>
    <n v="45949"/>
    <n v="44202"/>
    <s v="Yes"/>
    <s v="Level 2"/>
    <d v="2026-01-05T00:00:00"/>
  </r>
  <r>
    <s v="C0303"/>
    <x v="2"/>
    <x v="4"/>
    <s v="Medium"/>
    <s v="Open"/>
    <n v="41"/>
    <s v="2026-02-08"/>
    <x v="2"/>
    <s v="Senior Citizen"/>
    <s v="Yes"/>
    <s v="Road Damage"/>
    <s v="Helpline"/>
    <s v="Road damaged due to heavy rain"/>
    <n v="4"/>
    <s v="No"/>
    <n v="7"/>
    <s v="Delayed"/>
    <s v="Off304"/>
    <n v="6"/>
    <n v="49"/>
    <n v="46601"/>
    <n v="48339"/>
    <s v="Yes"/>
    <s v="Level 2"/>
    <d v="2026-03-21T00:00:00"/>
  </r>
  <r>
    <s v="C0304"/>
    <x v="3"/>
    <x v="0"/>
    <s v="Low"/>
    <s v="Open"/>
    <n v="38"/>
    <s v="2025-08-04"/>
    <x v="5"/>
    <s v="Farmer"/>
    <s v="Yes"/>
    <s v="Public Transport Delay"/>
    <s v="Walk in"/>
    <s v="Bus arrival delay reported"/>
    <n v="5"/>
    <s v="No"/>
    <n v="15"/>
    <s v="Delayed"/>
    <s v="Off305"/>
    <n v="5"/>
    <n v="6"/>
    <n v="35256"/>
    <n v="34079"/>
    <s v="Yes"/>
    <s v="Level 1"/>
    <d v="2025-09-11T00:00:00"/>
  </r>
  <r>
    <s v="C0305"/>
    <x v="4"/>
    <x v="0"/>
    <s v="Low"/>
    <s v="Resolved"/>
    <n v="24"/>
    <s v="2026-06-22"/>
    <x v="3"/>
    <s v="Farmer"/>
    <s v="Yes"/>
    <s v="General Complaint"/>
    <s v="Email"/>
    <s v="General complaint reported"/>
    <n v="4"/>
    <s v="No"/>
    <n v="15"/>
    <s v="Delayed"/>
    <s v="Off306"/>
    <n v="8"/>
    <n v="31"/>
    <n v="32967"/>
    <n v="34157"/>
    <s v="Yes"/>
    <s v="Level 1"/>
    <d v="2026-07-16T00:00:00"/>
  </r>
  <r>
    <s v="C0306"/>
    <x v="2"/>
    <x v="6"/>
    <s v="Low"/>
    <s v="Closed"/>
    <n v="18"/>
    <s v="2026-04-30"/>
    <x v="5"/>
    <s v="Student"/>
    <s v="Yes"/>
    <s v="Road Damage"/>
    <s v="Mobile App"/>
    <s v="Road damaged due to heavy rain"/>
    <n v="1"/>
    <s v="Yes"/>
    <n v="15"/>
    <s v="Delayed"/>
    <s v="Off307"/>
    <n v="14"/>
    <n v="33"/>
    <n v="6870"/>
    <n v="6677"/>
    <s v="Yes"/>
    <s v="Level 1"/>
    <d v="2026-05-18T00:00:00"/>
  </r>
  <r>
    <s v="C0307"/>
    <x v="5"/>
    <x v="4"/>
    <s v="Low"/>
    <s v="Closed"/>
    <n v="17"/>
    <s v="2026-04-01"/>
    <x v="0"/>
    <s v="General"/>
    <s v="Yes"/>
    <s v="General Complaint"/>
    <s v="Website"/>
    <s v="General complaint reported"/>
    <n v="5"/>
    <s v="No"/>
    <n v="15"/>
    <s v="Delayed"/>
    <s v="Off308"/>
    <n v="14"/>
    <n v="15"/>
    <n v="22158"/>
    <n v="20930"/>
    <s v="Yes"/>
    <s v="Level 1"/>
    <d v="2026-04-18T00:00:00"/>
  </r>
  <r>
    <s v="C0308"/>
    <x v="4"/>
    <x v="0"/>
    <s v="Low"/>
    <s v="In Progress"/>
    <n v="20"/>
    <s v="2025-08-01"/>
    <x v="2"/>
    <s v="Senior Citizen"/>
    <s v="Yes"/>
    <s v="General Complaint"/>
    <s v="Helpline"/>
    <s v="General complaint reported"/>
    <n v="3"/>
    <s v="No"/>
    <n v="15"/>
    <s v="Delayed"/>
    <s v="Off309"/>
    <n v="15"/>
    <n v="12"/>
    <n v="37567"/>
    <n v="39272"/>
    <s v="Yes"/>
    <s v="Level 1"/>
    <d v="2025-08-21T00:00:00"/>
  </r>
  <r>
    <s v="C0309"/>
    <x v="0"/>
    <x v="2"/>
    <s v="Low"/>
    <s v="Resolved"/>
    <n v="1"/>
    <s v="2025-06-05"/>
    <x v="4"/>
    <s v="General"/>
    <s v="No"/>
    <s v="Water Leakage"/>
    <s v="Walk in"/>
    <s v="Water pipe leakage near school"/>
    <n v="1"/>
    <s v="Yes"/>
    <n v="15"/>
    <s v="Within SLA"/>
    <s v="Off310"/>
    <n v="1"/>
    <n v="7"/>
    <n v="46890"/>
    <n v="46238"/>
    <s v="No"/>
    <s v="None"/>
    <d v="2025-06-06T00:00:00"/>
  </r>
  <r>
    <s v="C0310"/>
    <x v="1"/>
    <x v="5"/>
    <s v="High"/>
    <s v="Resolved"/>
    <n v="27"/>
    <s v="2025-02-12"/>
    <x v="2"/>
    <s v="General"/>
    <s v="Yes"/>
    <s v="Garbage Collection"/>
    <s v="Email"/>
    <s v="Garbage not collected for 3 days"/>
    <n v="5"/>
    <s v="No"/>
    <n v="3"/>
    <s v="Delayed"/>
    <s v="Off311"/>
    <n v="2"/>
    <n v="40"/>
    <n v="45736"/>
    <n v="46028"/>
    <s v="Yes"/>
    <s v="Level 3"/>
    <d v="2025-03-11T00:00:00"/>
  </r>
  <r>
    <s v="C0311"/>
    <x v="4"/>
    <x v="7"/>
    <s v="Low"/>
    <s v="In Progress"/>
    <n v="23"/>
    <s v="2026-03-10"/>
    <x v="5"/>
    <s v="Senior Citizen"/>
    <s v="Yes"/>
    <s v="General Complaint"/>
    <s v="Mobile App"/>
    <s v="General complaint reported"/>
    <n v="2"/>
    <s v="Yes"/>
    <n v="15"/>
    <s v="Delayed"/>
    <s v="Off312"/>
    <n v="5"/>
    <n v="35"/>
    <n v="27635"/>
    <n v="25642"/>
    <s v="Yes"/>
    <s v="Level 1"/>
    <d v="2026-04-02T00:00:00"/>
  </r>
  <r>
    <s v="C0312"/>
    <x v="0"/>
    <x v="0"/>
    <s v="High"/>
    <s v="Closed"/>
    <n v="26"/>
    <s v="2025-05-20"/>
    <x v="0"/>
    <s v="General"/>
    <s v="Yes"/>
    <s v="Water Leakage"/>
    <s v="Website"/>
    <s v="Water pipe leakage near school"/>
    <n v="1"/>
    <s v="Yes"/>
    <n v="3"/>
    <s v="Delayed"/>
    <s v="Off313"/>
    <n v="2"/>
    <n v="33"/>
    <n v="9222"/>
    <n v="9419"/>
    <s v="Yes"/>
    <s v="Level 3"/>
    <d v="2025-06-15T00:00:00"/>
  </r>
  <r>
    <s v="C0313"/>
    <x v="2"/>
    <x v="5"/>
    <s v="Low"/>
    <s v="Open"/>
    <n v="8"/>
    <s v="2026-05-12"/>
    <x v="4"/>
    <s v="Farmer"/>
    <s v="Yes"/>
    <s v="Road Damage"/>
    <s v="Helpline"/>
    <s v="Road damaged due to heavy rain"/>
    <n v="5"/>
    <s v="No"/>
    <n v="15"/>
    <s v="Within SLA"/>
    <s v="Off314"/>
    <n v="10"/>
    <n v="44"/>
    <n v="36992"/>
    <n v="37859"/>
    <s v="No"/>
    <s v="None"/>
    <d v="2026-05-20T00:00:00"/>
  </r>
  <r>
    <s v="C0314"/>
    <x v="5"/>
    <x v="0"/>
    <s v="Medium"/>
    <s v="Resolved"/>
    <n v="24"/>
    <s v="2025-05-25"/>
    <x v="0"/>
    <s v="General"/>
    <s v="Yes"/>
    <s v="General Complaint"/>
    <s v="Walk in"/>
    <s v="General complaint reported"/>
    <n v="2"/>
    <s v="Yes"/>
    <n v="7"/>
    <s v="Delayed"/>
    <s v="Off315"/>
    <n v="6"/>
    <n v="19"/>
    <n v="35209"/>
    <n v="35102"/>
    <s v="Yes"/>
    <s v="Level 2"/>
    <d v="2025-06-18T00:00:00"/>
  </r>
  <r>
    <s v="C0315"/>
    <x v="2"/>
    <x v="9"/>
    <s v="Medium"/>
    <s v="In Progress"/>
    <n v="39"/>
    <s v="2025-06-15"/>
    <x v="2"/>
    <s v="Senior Citizen"/>
    <s v="Yes"/>
    <s v="Road Damage"/>
    <s v="Email"/>
    <s v="Road damaged due to heavy rain"/>
    <n v="3"/>
    <s v="No"/>
    <n v="7"/>
    <s v="Delayed"/>
    <s v="Off316"/>
    <n v="6"/>
    <n v="16"/>
    <n v="38840"/>
    <n v="37020"/>
    <s v="Yes"/>
    <s v="Level 2"/>
    <d v="2025-07-24T00:00:00"/>
  </r>
  <r>
    <s v="C0316"/>
    <x v="3"/>
    <x v="2"/>
    <s v="Low"/>
    <s v="Open"/>
    <n v="4"/>
    <s v="2025-12-19"/>
    <x v="4"/>
    <s v="Senior Citizen"/>
    <s v="No"/>
    <s v="Public Transport Delay"/>
    <s v="Mobile App"/>
    <s v="Bus arrival delay reported"/>
    <n v="4"/>
    <s v="No"/>
    <n v="15"/>
    <s v="Within SLA"/>
    <s v="Off317"/>
    <n v="9"/>
    <n v="32"/>
    <n v="2533"/>
    <n v="3908"/>
    <s v="No"/>
    <s v="None"/>
    <d v="2025-12-23T00:00:00"/>
  </r>
  <r>
    <s v="C0317"/>
    <x v="0"/>
    <x v="7"/>
    <s v="High"/>
    <s v="Closed"/>
    <n v="19"/>
    <s v="2025-11-06"/>
    <x v="1"/>
    <s v="Senior Citizen"/>
    <s v="Yes"/>
    <s v="Water Leakage"/>
    <s v="Website"/>
    <s v="Water pipe leakage near school"/>
    <n v="5"/>
    <s v="No"/>
    <n v="3"/>
    <s v="Delayed"/>
    <s v="Off318"/>
    <n v="15"/>
    <n v="41"/>
    <n v="47332"/>
    <n v="46736"/>
    <s v="Yes"/>
    <s v="Level 3"/>
    <d v="2025-11-25T00:00:00"/>
  </r>
  <r>
    <s v="C0318"/>
    <x v="0"/>
    <x v="9"/>
    <s v="Medium"/>
    <s v="Closed"/>
    <n v="14"/>
    <s v="2025-07-24"/>
    <x v="5"/>
    <s v="Senior Citizen"/>
    <s v="Yes"/>
    <s v="Water Leakage"/>
    <s v="Helpline"/>
    <s v="Water pipe leakage near school"/>
    <n v="4"/>
    <s v="No"/>
    <n v="7"/>
    <s v="Delayed"/>
    <s v="Off319"/>
    <n v="12"/>
    <n v="31"/>
    <n v="33800"/>
    <n v="32463"/>
    <s v="Yes"/>
    <s v="Level 2"/>
    <d v="2025-08-07T00:00:00"/>
  </r>
  <r>
    <s v="C0319"/>
    <x v="5"/>
    <x v="4"/>
    <s v="Low"/>
    <s v="Closed"/>
    <n v="3"/>
    <s v="2025-11-02"/>
    <x v="2"/>
    <s v="Business Owner"/>
    <s v="No"/>
    <s v="General Complaint"/>
    <s v="Walk in"/>
    <s v="General complaint reported"/>
    <n v="4"/>
    <s v="No"/>
    <n v="15"/>
    <s v="Within SLA"/>
    <s v="Off320"/>
    <n v="3"/>
    <n v="24"/>
    <n v="39235"/>
    <n v="37391"/>
    <s v="No"/>
    <s v="None"/>
    <d v="2025-11-05T00:00:00"/>
  </r>
  <r>
    <s v="C0320"/>
    <x v="0"/>
    <x v="5"/>
    <s v="Low"/>
    <s v="Closed"/>
    <n v="10"/>
    <s v="2025-01-08"/>
    <x v="0"/>
    <s v="Business Owner"/>
    <s v="Yes"/>
    <s v="Water Leakage"/>
    <s v="Email"/>
    <s v="Water pipe leakage near school"/>
    <n v="3"/>
    <s v="No"/>
    <n v="15"/>
    <s v="Within SLA"/>
    <s v="Off321"/>
    <n v="15"/>
    <n v="11"/>
    <n v="36931"/>
    <n v="36308"/>
    <s v="No"/>
    <s v="None"/>
    <d v="2025-01-18T00:00:00"/>
  </r>
  <r>
    <s v="C0321"/>
    <x v="5"/>
    <x v="2"/>
    <s v="High"/>
    <s v="Resolved"/>
    <n v="9"/>
    <s v="2026-02-03"/>
    <x v="2"/>
    <s v="Student"/>
    <s v="Yes"/>
    <s v="General Complaint"/>
    <s v="Mobile App"/>
    <s v="General complaint reported"/>
    <n v="5"/>
    <s v="No"/>
    <n v="3"/>
    <s v="Delayed"/>
    <s v="Off322"/>
    <n v="14"/>
    <n v="9"/>
    <n v="43261"/>
    <n v="43190"/>
    <s v="Yes"/>
    <s v="Level 3"/>
    <d v="2026-02-12T00:00:00"/>
  </r>
  <r>
    <s v="C0322"/>
    <x v="1"/>
    <x v="6"/>
    <s v="High"/>
    <s v="In Progress"/>
    <n v="1"/>
    <s v="2025-04-06"/>
    <x v="5"/>
    <s v="Senior Citizen"/>
    <s v="No"/>
    <s v="Garbage Collection"/>
    <s v="Website"/>
    <s v="Garbage not collected for 3 days"/>
    <n v="4"/>
    <s v="No"/>
    <n v="3"/>
    <s v="Within SLA"/>
    <s v="Off323"/>
    <n v="13"/>
    <n v="41"/>
    <n v="25187"/>
    <n v="25066"/>
    <s v="No"/>
    <s v="None"/>
    <d v="2025-04-07T00:00:00"/>
  </r>
  <r>
    <s v="C0323"/>
    <x v="4"/>
    <x v="3"/>
    <s v="Low"/>
    <s v="Open"/>
    <n v="21"/>
    <s v="2025-01-20"/>
    <x v="0"/>
    <s v="Farmer"/>
    <s v="Yes"/>
    <s v="General Complaint"/>
    <s v="Helpline"/>
    <s v="General complaint reported"/>
    <n v="3"/>
    <s v="No"/>
    <n v="15"/>
    <s v="Delayed"/>
    <s v="Off324"/>
    <n v="9"/>
    <n v="11"/>
    <n v="42246"/>
    <n v="41104"/>
    <s v="Yes"/>
    <s v="Level 1"/>
    <d v="2025-02-10T00:00:00"/>
  </r>
  <r>
    <s v="C0324"/>
    <x v="3"/>
    <x v="6"/>
    <s v="Medium"/>
    <s v="Closed"/>
    <n v="22"/>
    <s v="2026-04-03"/>
    <x v="2"/>
    <s v="Student"/>
    <s v="Yes"/>
    <s v="Public Transport Delay"/>
    <s v="Walk in"/>
    <s v="Bus arrival delay reported"/>
    <n v="1"/>
    <s v="Yes"/>
    <n v="7"/>
    <s v="Delayed"/>
    <s v="Off325"/>
    <n v="10"/>
    <n v="21"/>
    <n v="35489"/>
    <n v="35789"/>
    <s v="Yes"/>
    <s v="Level 2"/>
    <d v="2026-04-25T00:00:00"/>
  </r>
  <r>
    <s v="C0325"/>
    <x v="2"/>
    <x v="9"/>
    <s v="Medium"/>
    <s v="In Progress"/>
    <n v="36"/>
    <s v="2026-02-03"/>
    <x v="4"/>
    <s v="Senior Citizen"/>
    <s v="Yes"/>
    <s v="Road Damage"/>
    <s v="Email"/>
    <s v="Road damaged due to heavy rain"/>
    <n v="4"/>
    <s v="No"/>
    <n v="7"/>
    <s v="Delayed"/>
    <s v="Off326"/>
    <n v="13"/>
    <n v="28"/>
    <n v="40153"/>
    <n v="38357"/>
    <s v="Yes"/>
    <s v="Level 2"/>
    <d v="2026-03-11T00:00:00"/>
  </r>
  <r>
    <s v="C0326"/>
    <x v="5"/>
    <x v="3"/>
    <s v="Medium"/>
    <s v="Closed"/>
    <n v="22"/>
    <s v="2025-11-13"/>
    <x v="4"/>
    <s v="Student"/>
    <s v="Yes"/>
    <s v="General Complaint"/>
    <s v="Mobile App"/>
    <s v="General complaint reported"/>
    <n v="4"/>
    <s v="No"/>
    <n v="7"/>
    <s v="Delayed"/>
    <s v="Off327"/>
    <n v="8"/>
    <n v="8"/>
    <n v="48909"/>
    <n v="47432"/>
    <s v="Yes"/>
    <s v="Level 2"/>
    <d v="2025-12-05T00:00:00"/>
  </r>
  <r>
    <s v="C0327"/>
    <x v="5"/>
    <x v="9"/>
    <s v="Low"/>
    <s v="Open"/>
    <n v="24"/>
    <s v="2025-06-22"/>
    <x v="0"/>
    <s v="Farmer"/>
    <s v="Yes"/>
    <s v="General Complaint"/>
    <s v="Website"/>
    <s v="General complaint reported"/>
    <n v="1"/>
    <s v="Yes"/>
    <n v="15"/>
    <s v="Delayed"/>
    <s v="Off328"/>
    <n v="2"/>
    <n v="35"/>
    <n v="42500"/>
    <n v="42167"/>
    <s v="Yes"/>
    <s v="Level 1"/>
    <d v="2025-07-16T00:00:00"/>
  </r>
  <r>
    <s v="C0328"/>
    <x v="4"/>
    <x v="7"/>
    <s v="High"/>
    <s v="Open"/>
    <n v="1"/>
    <s v="2025-05-10"/>
    <x v="0"/>
    <s v="Student"/>
    <s v="No"/>
    <s v="General Complaint"/>
    <s v="Helpline"/>
    <s v="General complaint reported"/>
    <n v="1"/>
    <s v="Yes"/>
    <n v="3"/>
    <s v="Within SLA"/>
    <s v="Off329"/>
    <n v="10"/>
    <n v="40"/>
    <n v="14410"/>
    <n v="15074"/>
    <s v="No"/>
    <s v="None"/>
    <d v="2025-05-11T00:00:00"/>
  </r>
  <r>
    <s v="C0329"/>
    <x v="0"/>
    <x v="1"/>
    <s v="Low"/>
    <s v="Resolved"/>
    <n v="19"/>
    <s v="2025-06-30"/>
    <x v="3"/>
    <s v="Farmer"/>
    <s v="Yes"/>
    <s v="Water Leakage"/>
    <s v="Walk in"/>
    <s v="Water pipe leakage near school"/>
    <n v="1"/>
    <s v="Yes"/>
    <n v="15"/>
    <s v="Delayed"/>
    <s v="Off330"/>
    <n v="9"/>
    <n v="18"/>
    <n v="19885"/>
    <n v="21094"/>
    <s v="Yes"/>
    <s v="Level 1"/>
    <d v="2025-07-19T00:00:00"/>
  </r>
  <r>
    <s v="C0330"/>
    <x v="4"/>
    <x v="6"/>
    <s v="High"/>
    <s v="Closed"/>
    <n v="1"/>
    <s v="2025-09-27"/>
    <x v="5"/>
    <s v="General"/>
    <s v="No"/>
    <s v="General Complaint"/>
    <s v="Email"/>
    <s v="General complaint reported"/>
    <n v="1"/>
    <s v="Yes"/>
    <n v="3"/>
    <s v="Within SLA"/>
    <s v="Off331"/>
    <n v="3"/>
    <n v="18"/>
    <n v="28615"/>
    <n v="30556"/>
    <s v="No"/>
    <s v="None"/>
    <d v="2025-09-28T00:00:00"/>
  </r>
  <r>
    <s v="C0331"/>
    <x v="1"/>
    <x v="9"/>
    <s v="High"/>
    <s v="In Progress"/>
    <n v="19"/>
    <s v="2026-03-28"/>
    <x v="5"/>
    <s v="Business Owner"/>
    <s v="Yes"/>
    <s v="Garbage Collection"/>
    <s v="Mobile App"/>
    <s v="Garbage not collected for 3 days"/>
    <n v="4"/>
    <s v="No"/>
    <n v="3"/>
    <s v="Delayed"/>
    <s v="Off332"/>
    <n v="14"/>
    <n v="19"/>
    <n v="35629"/>
    <n v="37157"/>
    <s v="Yes"/>
    <s v="Level 3"/>
    <d v="2026-04-16T00:00:00"/>
  </r>
  <r>
    <s v="C0332"/>
    <x v="2"/>
    <x v="4"/>
    <s v="Medium"/>
    <s v="Resolved"/>
    <n v="4"/>
    <s v="2026-03-08"/>
    <x v="4"/>
    <s v="Farmer"/>
    <s v="No"/>
    <s v="Road Damage"/>
    <s v="Website"/>
    <s v="Road damaged due to heavy rain"/>
    <n v="4"/>
    <s v="No"/>
    <n v="7"/>
    <s v="Within SLA"/>
    <s v="Off333"/>
    <n v="10"/>
    <n v="21"/>
    <n v="42356"/>
    <n v="41439"/>
    <s v="No"/>
    <s v="None"/>
    <d v="2026-03-12T00:00:00"/>
  </r>
  <r>
    <s v="C0333"/>
    <x v="2"/>
    <x v="1"/>
    <s v="Medium"/>
    <s v="Open"/>
    <n v="20"/>
    <s v="2025-08-30"/>
    <x v="1"/>
    <s v="Business Owner"/>
    <s v="Yes"/>
    <s v="Road Damage"/>
    <s v="Helpline"/>
    <s v="Road damaged due to heavy rain"/>
    <n v="3"/>
    <s v="No"/>
    <n v="7"/>
    <s v="Delayed"/>
    <s v="Off334"/>
    <n v="11"/>
    <n v="22"/>
    <n v="9473"/>
    <n v="11068"/>
    <s v="Yes"/>
    <s v="Level 2"/>
    <d v="2025-09-19T00:00:00"/>
  </r>
  <r>
    <s v="C0334"/>
    <x v="0"/>
    <x v="0"/>
    <s v="Low"/>
    <s v="Closed"/>
    <n v="1"/>
    <s v="2025-11-01"/>
    <x v="0"/>
    <s v="Farmer"/>
    <s v="No"/>
    <s v="Water Leakage"/>
    <s v="Walk in"/>
    <s v="Water pipe leakage near school"/>
    <n v="5"/>
    <s v="No"/>
    <n v="15"/>
    <s v="Within SLA"/>
    <s v="Off335"/>
    <n v="13"/>
    <n v="33"/>
    <n v="28904"/>
    <n v="28137"/>
    <s v="No"/>
    <s v="None"/>
    <d v="2025-11-02T00:00:00"/>
  </r>
  <r>
    <s v="C0335"/>
    <x v="0"/>
    <x v="8"/>
    <s v="High"/>
    <s v="Resolved"/>
    <n v="17"/>
    <s v="2025-09-24"/>
    <x v="3"/>
    <s v="General"/>
    <s v="Yes"/>
    <s v="Water Leakage"/>
    <s v="Email"/>
    <s v="Water pipe leakage near school"/>
    <n v="1"/>
    <s v="Yes"/>
    <n v="3"/>
    <s v="Delayed"/>
    <s v="Off336"/>
    <n v="3"/>
    <n v="33"/>
    <n v="25634"/>
    <n v="27076"/>
    <s v="Yes"/>
    <s v="Level 3"/>
    <d v="2025-10-11T00:00:00"/>
  </r>
  <r>
    <s v="C0336"/>
    <x v="4"/>
    <x v="1"/>
    <s v="High"/>
    <s v="Closed"/>
    <n v="26"/>
    <s v="2025-10-29"/>
    <x v="1"/>
    <s v="Student"/>
    <s v="Yes"/>
    <s v="General Complaint"/>
    <s v="Mobile App"/>
    <s v="General complaint reported"/>
    <n v="5"/>
    <s v="No"/>
    <n v="3"/>
    <s v="Delayed"/>
    <s v="Off337"/>
    <n v="11"/>
    <n v="13"/>
    <n v="20533"/>
    <n v="20056"/>
    <s v="Yes"/>
    <s v="Level 3"/>
    <d v="2025-11-24T00:00:00"/>
  </r>
  <r>
    <s v="C0337"/>
    <x v="5"/>
    <x v="1"/>
    <s v="Medium"/>
    <s v="Open"/>
    <n v="36"/>
    <s v="2026-06-10"/>
    <x v="2"/>
    <s v="Business Owner"/>
    <s v="Yes"/>
    <s v="General Complaint"/>
    <s v="Website"/>
    <s v="General complaint reported"/>
    <n v="2"/>
    <s v="Yes"/>
    <n v="7"/>
    <s v="Delayed"/>
    <s v="Off338"/>
    <n v="6"/>
    <n v="49"/>
    <n v="27148"/>
    <n v="28131"/>
    <s v="Yes"/>
    <s v="Level 2"/>
    <d v="2026-07-16T00:00:00"/>
  </r>
  <r>
    <s v="C0338"/>
    <x v="1"/>
    <x v="6"/>
    <s v="Low"/>
    <s v="Closed"/>
    <n v="9"/>
    <s v="2026-03-04"/>
    <x v="0"/>
    <s v="General"/>
    <s v="Yes"/>
    <s v="Garbage Collection"/>
    <s v="Helpline"/>
    <s v="Garbage not collected for 3 days"/>
    <n v="1"/>
    <s v="Yes"/>
    <n v="15"/>
    <s v="Within SLA"/>
    <s v="Off339"/>
    <n v="12"/>
    <n v="14"/>
    <n v="46321"/>
    <n v="44721"/>
    <s v="No"/>
    <s v="None"/>
    <d v="2026-03-13T00:00:00"/>
  </r>
  <r>
    <s v="C0339"/>
    <x v="5"/>
    <x v="5"/>
    <s v="Low"/>
    <s v="Open"/>
    <n v="3"/>
    <s v="2025-01-18"/>
    <x v="3"/>
    <s v="General"/>
    <s v="No"/>
    <s v="General Complaint"/>
    <s v="Walk in"/>
    <s v="General complaint reported"/>
    <n v="5"/>
    <s v="No"/>
    <n v="15"/>
    <s v="Within SLA"/>
    <s v="Off340"/>
    <n v="8"/>
    <n v="46"/>
    <n v="40612"/>
    <n v="39630"/>
    <s v="No"/>
    <s v="None"/>
    <d v="2025-01-21T00:00:00"/>
  </r>
  <r>
    <s v="C0340"/>
    <x v="0"/>
    <x v="4"/>
    <s v="Low"/>
    <s v="Open"/>
    <n v="30"/>
    <s v="2025-03-29"/>
    <x v="3"/>
    <s v="General"/>
    <s v="Yes"/>
    <s v="Water Leakage"/>
    <s v="Email"/>
    <s v="Water pipe leakage near school"/>
    <n v="1"/>
    <s v="Yes"/>
    <n v="15"/>
    <s v="Delayed"/>
    <s v="Off341"/>
    <n v="15"/>
    <n v="29"/>
    <n v="28633"/>
    <n v="26941"/>
    <s v="Yes"/>
    <s v="Level 1"/>
    <d v="2025-04-28T00:00:00"/>
  </r>
  <r>
    <s v="C0341"/>
    <x v="4"/>
    <x v="8"/>
    <s v="High"/>
    <s v="Resolved"/>
    <n v="30"/>
    <s v="2026-05-09"/>
    <x v="2"/>
    <s v="Business Owner"/>
    <s v="Yes"/>
    <s v="General Complaint"/>
    <s v="Mobile App"/>
    <s v="General complaint reported"/>
    <n v="1"/>
    <s v="Yes"/>
    <n v="3"/>
    <s v="Delayed"/>
    <s v="Off342"/>
    <n v="12"/>
    <n v="16"/>
    <n v="10197"/>
    <n v="11050"/>
    <s v="Yes"/>
    <s v="Level 3"/>
    <d v="2026-06-08T00:00:00"/>
  </r>
  <r>
    <s v="C0342"/>
    <x v="0"/>
    <x v="4"/>
    <s v="Medium"/>
    <s v="Open"/>
    <n v="3"/>
    <s v="2025-03-02"/>
    <x v="2"/>
    <s v="Senior Citizen"/>
    <s v="No"/>
    <s v="Water Leakage"/>
    <s v="Website"/>
    <s v="Water pipe leakage near school"/>
    <n v="1"/>
    <s v="Yes"/>
    <n v="7"/>
    <s v="Within SLA"/>
    <s v="Off343"/>
    <n v="10"/>
    <n v="25"/>
    <n v="8205"/>
    <n v="6218"/>
    <s v="No"/>
    <s v="None"/>
    <d v="2025-03-05T00:00:00"/>
  </r>
  <r>
    <s v="C0343"/>
    <x v="4"/>
    <x v="6"/>
    <s v="Low"/>
    <s v="In Progress"/>
    <n v="37"/>
    <s v="2026-04-08"/>
    <x v="0"/>
    <s v="Senior Citizen"/>
    <s v="Yes"/>
    <s v="General Complaint"/>
    <s v="Helpline"/>
    <s v="General complaint reported"/>
    <n v="4"/>
    <s v="No"/>
    <n v="15"/>
    <s v="Delayed"/>
    <s v="Off344"/>
    <n v="12"/>
    <n v="48"/>
    <n v="16115"/>
    <n v="15465"/>
    <s v="Yes"/>
    <s v="Level 1"/>
    <d v="2026-05-15T00:00:00"/>
  </r>
  <r>
    <s v="C0344"/>
    <x v="1"/>
    <x v="7"/>
    <s v="Medium"/>
    <s v="Resolved"/>
    <n v="14"/>
    <s v="2025-11-09"/>
    <x v="5"/>
    <s v="Student"/>
    <s v="Yes"/>
    <s v="Garbage Collection"/>
    <s v="Walk in"/>
    <s v="Garbage not collected for 3 days"/>
    <n v="4"/>
    <s v="No"/>
    <n v="7"/>
    <s v="Delayed"/>
    <s v="Off345"/>
    <n v="5"/>
    <n v="9"/>
    <n v="2896"/>
    <n v="3618"/>
    <s v="Yes"/>
    <s v="Level 2"/>
    <d v="2025-11-23T00:00:00"/>
  </r>
  <r>
    <s v="C0345"/>
    <x v="5"/>
    <x v="7"/>
    <s v="Medium"/>
    <s v="Closed"/>
    <n v="17"/>
    <s v="2025-05-28"/>
    <x v="5"/>
    <s v="Business Owner"/>
    <s v="Yes"/>
    <s v="General Complaint"/>
    <s v="Email"/>
    <s v="General complaint reported"/>
    <n v="4"/>
    <s v="No"/>
    <n v="7"/>
    <s v="Delayed"/>
    <s v="Off346"/>
    <n v="1"/>
    <n v="40"/>
    <n v="44710"/>
    <n v="42757"/>
    <s v="Yes"/>
    <s v="Level 2"/>
    <d v="2025-06-14T00:00:00"/>
  </r>
  <r>
    <s v="C0346"/>
    <x v="5"/>
    <x v="7"/>
    <s v="Medium"/>
    <s v="In Progress"/>
    <n v="41"/>
    <s v="2025-08-31"/>
    <x v="5"/>
    <s v="Farmer"/>
    <s v="Yes"/>
    <s v="General Complaint"/>
    <s v="Mobile App"/>
    <s v="General complaint reported"/>
    <n v="3"/>
    <s v="No"/>
    <n v="7"/>
    <s v="Delayed"/>
    <s v="Off347"/>
    <n v="3"/>
    <n v="18"/>
    <n v="14334"/>
    <n v="12944"/>
    <s v="Yes"/>
    <s v="Level 2"/>
    <d v="2025-10-11T00:00:00"/>
  </r>
  <r>
    <s v="C0347"/>
    <x v="3"/>
    <x v="5"/>
    <s v="High"/>
    <s v="In Progress"/>
    <n v="40"/>
    <s v="2026-01-28"/>
    <x v="1"/>
    <s v="Farmer"/>
    <s v="Yes"/>
    <s v="Public Transport Delay"/>
    <s v="Website"/>
    <s v="Bus arrival delay reported"/>
    <n v="3"/>
    <s v="No"/>
    <n v="3"/>
    <s v="Delayed"/>
    <s v="Off348"/>
    <n v="8"/>
    <n v="35"/>
    <n v="25132"/>
    <n v="23689"/>
    <s v="Yes"/>
    <s v="Level 3"/>
    <d v="2026-03-09T00:00:00"/>
  </r>
  <r>
    <s v="C0348"/>
    <x v="4"/>
    <x v="8"/>
    <s v="Medium"/>
    <s v="Open"/>
    <n v="45"/>
    <s v="2026-04-02"/>
    <x v="0"/>
    <s v="Business Owner"/>
    <s v="Yes"/>
    <s v="General Complaint"/>
    <s v="Helpline"/>
    <s v="General complaint reported"/>
    <n v="3"/>
    <s v="No"/>
    <n v="7"/>
    <s v="Delayed"/>
    <s v="Off349"/>
    <n v="15"/>
    <n v="33"/>
    <n v="7219"/>
    <n v="6045"/>
    <s v="Yes"/>
    <s v="Level 2"/>
    <d v="2026-05-17T00:00:00"/>
  </r>
  <r>
    <s v="C0349"/>
    <x v="4"/>
    <x v="5"/>
    <s v="Medium"/>
    <s v="Open"/>
    <n v="27"/>
    <s v="2025-02-07"/>
    <x v="5"/>
    <s v="Business Owner"/>
    <s v="Yes"/>
    <s v="General Complaint"/>
    <s v="Walk in"/>
    <s v="General complaint reported"/>
    <n v="3"/>
    <s v="No"/>
    <n v="7"/>
    <s v="Delayed"/>
    <s v="Off350"/>
    <n v="6"/>
    <n v="14"/>
    <n v="38944"/>
    <n v="38223"/>
    <s v="Yes"/>
    <s v="Level 2"/>
    <d v="2025-03-06T00:00:00"/>
  </r>
  <r>
    <s v="C0350"/>
    <x v="0"/>
    <x v="0"/>
    <s v="High"/>
    <s v="In Progress"/>
    <n v="38"/>
    <s v="2026-04-28"/>
    <x v="1"/>
    <s v="Student"/>
    <s v="Yes"/>
    <s v="Water Leakage"/>
    <s v="Email"/>
    <s v="Water pipe leakage near school"/>
    <n v="3"/>
    <s v="No"/>
    <n v="3"/>
    <s v="Delayed"/>
    <s v="Off351"/>
    <n v="14"/>
    <n v="19"/>
    <n v="47194"/>
    <n v="45521"/>
    <s v="Yes"/>
    <s v="Level 3"/>
    <d v="2026-06-05T00:00:00"/>
  </r>
  <r>
    <s v="C0351"/>
    <x v="2"/>
    <x v="0"/>
    <s v="High"/>
    <s v="Resolved"/>
    <n v="22"/>
    <s v="2025-07-27"/>
    <x v="5"/>
    <s v="General"/>
    <s v="Yes"/>
    <s v="Road Damage"/>
    <s v="Mobile App"/>
    <s v="Road damaged due to heavy rain"/>
    <n v="4"/>
    <s v="No"/>
    <n v="3"/>
    <s v="Delayed"/>
    <s v="Off352"/>
    <n v="7"/>
    <n v="20"/>
    <n v="8712"/>
    <n v="6853"/>
    <s v="Yes"/>
    <s v="Level 3"/>
    <d v="2025-08-18T00:00:00"/>
  </r>
  <r>
    <s v="C0352"/>
    <x v="0"/>
    <x v="1"/>
    <s v="High"/>
    <s v="Open"/>
    <n v="45"/>
    <s v="2025-10-21"/>
    <x v="5"/>
    <s v="Business Owner"/>
    <s v="Yes"/>
    <s v="Water Leakage"/>
    <s v="Website"/>
    <s v="Water pipe leakage near school"/>
    <n v="4"/>
    <s v="No"/>
    <n v="3"/>
    <s v="Delayed"/>
    <s v="Off353"/>
    <n v="9"/>
    <n v="42"/>
    <n v="47103"/>
    <n v="45956"/>
    <s v="Yes"/>
    <s v="Level 3"/>
    <d v="2025-12-05T00:00:00"/>
  </r>
  <r>
    <s v="C0353"/>
    <x v="4"/>
    <x v="1"/>
    <s v="High"/>
    <s v="Open"/>
    <n v="29"/>
    <s v="2025-03-17"/>
    <x v="4"/>
    <s v="Student"/>
    <s v="Yes"/>
    <s v="General Complaint"/>
    <s v="Helpline"/>
    <s v="General complaint reported"/>
    <n v="4"/>
    <s v="No"/>
    <n v="3"/>
    <s v="Delayed"/>
    <s v="Off354"/>
    <n v="10"/>
    <n v="20"/>
    <n v="23526"/>
    <n v="23379"/>
    <s v="Yes"/>
    <s v="Level 3"/>
    <d v="2025-04-15T00:00:00"/>
  </r>
  <r>
    <s v="C0354"/>
    <x v="3"/>
    <x v="8"/>
    <s v="Medium"/>
    <s v="In Progress"/>
    <n v="4"/>
    <s v="2025-09-23"/>
    <x v="5"/>
    <s v="Student"/>
    <s v="No"/>
    <s v="Public Transport Delay"/>
    <s v="Walk in"/>
    <s v="Bus arrival delay reported"/>
    <n v="1"/>
    <s v="Yes"/>
    <n v="7"/>
    <s v="Within SLA"/>
    <s v="Off355"/>
    <n v="15"/>
    <n v="12"/>
    <n v="18647"/>
    <n v="18324"/>
    <s v="No"/>
    <s v="None"/>
    <d v="2025-09-27T00:00:00"/>
  </r>
  <r>
    <s v="C0355"/>
    <x v="5"/>
    <x v="0"/>
    <s v="Medium"/>
    <s v="Resolved"/>
    <n v="25"/>
    <s v="2026-05-14"/>
    <x v="0"/>
    <s v="Student"/>
    <s v="Yes"/>
    <s v="General Complaint"/>
    <s v="Email"/>
    <s v="General complaint reported"/>
    <n v="2"/>
    <s v="Yes"/>
    <n v="7"/>
    <s v="Delayed"/>
    <s v="Off356"/>
    <n v="14"/>
    <n v="49"/>
    <n v="37444"/>
    <n v="36494"/>
    <s v="Yes"/>
    <s v="Level 2"/>
    <d v="2026-06-08T00:00:00"/>
  </r>
  <r>
    <s v="C0356"/>
    <x v="2"/>
    <x v="7"/>
    <s v="Low"/>
    <s v="In Progress"/>
    <n v="7"/>
    <s v="2025-02-08"/>
    <x v="2"/>
    <s v="Business Owner"/>
    <s v="No"/>
    <s v="Road Damage"/>
    <s v="Mobile App"/>
    <s v="Road damaged due to heavy rain"/>
    <n v="1"/>
    <s v="Yes"/>
    <n v="15"/>
    <s v="Within SLA"/>
    <s v="Off357"/>
    <n v="8"/>
    <n v="8"/>
    <n v="4305"/>
    <n v="6086"/>
    <s v="No"/>
    <s v="None"/>
    <d v="2025-02-15T00:00:00"/>
  </r>
  <r>
    <s v="C0357"/>
    <x v="5"/>
    <x v="1"/>
    <s v="Low"/>
    <s v="In Progress"/>
    <n v="19"/>
    <s v="2026-01-27"/>
    <x v="5"/>
    <s v="Senior Citizen"/>
    <s v="Yes"/>
    <s v="General Complaint"/>
    <s v="Website"/>
    <s v="General complaint reported"/>
    <n v="3"/>
    <s v="No"/>
    <n v="15"/>
    <s v="Delayed"/>
    <s v="Off358"/>
    <n v="13"/>
    <n v="34"/>
    <n v="26330"/>
    <n v="26546"/>
    <s v="Yes"/>
    <s v="Level 1"/>
    <d v="2026-02-15T00:00:00"/>
  </r>
  <r>
    <s v="C0358"/>
    <x v="2"/>
    <x v="3"/>
    <s v="Medium"/>
    <s v="Resolved"/>
    <n v="6"/>
    <s v="2025-10-14"/>
    <x v="4"/>
    <s v="Senior Citizen"/>
    <s v="No"/>
    <s v="Road Damage"/>
    <s v="Helpline"/>
    <s v="Road damaged due to heavy rain"/>
    <n v="5"/>
    <s v="No"/>
    <n v="7"/>
    <s v="Within SLA"/>
    <s v="Off359"/>
    <n v="9"/>
    <n v="31"/>
    <n v="13666"/>
    <n v="12099"/>
    <s v="No"/>
    <s v="None"/>
    <d v="2025-10-20T00:00:00"/>
  </r>
  <r>
    <s v="C0359"/>
    <x v="5"/>
    <x v="8"/>
    <s v="Medium"/>
    <s v="In Progress"/>
    <n v="27"/>
    <s v="2025-10-10"/>
    <x v="4"/>
    <s v="General"/>
    <s v="Yes"/>
    <s v="General Complaint"/>
    <s v="Walk in"/>
    <s v="General complaint reported"/>
    <n v="5"/>
    <s v="No"/>
    <n v="7"/>
    <s v="Delayed"/>
    <s v="Off360"/>
    <n v="3"/>
    <n v="28"/>
    <n v="15669"/>
    <n v="15986"/>
    <s v="Yes"/>
    <s v="Level 2"/>
    <d v="2025-11-06T00:00:00"/>
  </r>
  <r>
    <s v="C0360"/>
    <x v="2"/>
    <x v="6"/>
    <s v="High"/>
    <s v="Closed"/>
    <n v="30"/>
    <s v="2025-06-28"/>
    <x v="3"/>
    <s v="Farmer"/>
    <s v="Yes"/>
    <s v="Road Damage"/>
    <s v="Email"/>
    <s v="Road damaged due to heavy rain"/>
    <n v="2"/>
    <s v="Yes"/>
    <n v="3"/>
    <s v="Delayed"/>
    <s v="Off361"/>
    <n v="9"/>
    <n v="32"/>
    <n v="4282"/>
    <n v="3606"/>
    <s v="Yes"/>
    <s v="Level 3"/>
    <d v="2025-07-28T00:00:00"/>
  </r>
  <r>
    <s v="C0361"/>
    <x v="1"/>
    <x v="0"/>
    <s v="Low"/>
    <s v="In Progress"/>
    <n v="17"/>
    <s v="2025-02-06"/>
    <x v="4"/>
    <s v="Senior Citizen"/>
    <s v="Yes"/>
    <s v="Garbage Collection"/>
    <s v="Mobile App"/>
    <s v="Garbage not collected for 3 days"/>
    <n v="3"/>
    <s v="No"/>
    <n v="15"/>
    <s v="Delayed"/>
    <s v="Off362"/>
    <n v="14"/>
    <n v="20"/>
    <n v="47069"/>
    <n v="47631"/>
    <s v="Yes"/>
    <s v="Level 1"/>
    <d v="2025-02-23T00:00:00"/>
  </r>
  <r>
    <s v="C0362"/>
    <x v="3"/>
    <x v="2"/>
    <s v="Low"/>
    <s v="Resolved"/>
    <n v="9"/>
    <s v="2026-01-11"/>
    <x v="1"/>
    <s v="General"/>
    <s v="Yes"/>
    <s v="Public Transport Delay"/>
    <s v="Website"/>
    <s v="Bus arrival delay reported"/>
    <n v="4"/>
    <s v="No"/>
    <n v="15"/>
    <s v="Within SLA"/>
    <s v="Off363"/>
    <n v="13"/>
    <n v="10"/>
    <n v="13272"/>
    <n v="11791"/>
    <s v="No"/>
    <s v="None"/>
    <d v="2026-01-20T00:00:00"/>
  </r>
  <r>
    <s v="C0363"/>
    <x v="2"/>
    <x v="6"/>
    <s v="Medium"/>
    <s v="Open"/>
    <n v="15"/>
    <s v="2025-10-13"/>
    <x v="4"/>
    <s v="General"/>
    <s v="Yes"/>
    <s v="Road Damage"/>
    <s v="Helpline"/>
    <s v="Road damaged due to heavy rain"/>
    <n v="1"/>
    <s v="Yes"/>
    <n v="7"/>
    <s v="Delayed"/>
    <s v="Off364"/>
    <n v="13"/>
    <n v="11"/>
    <n v="43235"/>
    <n v="41307"/>
    <s v="Yes"/>
    <s v="Level 2"/>
    <d v="2025-10-28T00:00:00"/>
  </r>
  <r>
    <s v="C0364"/>
    <x v="4"/>
    <x v="5"/>
    <s v="High"/>
    <s v="In Progress"/>
    <n v="28"/>
    <s v="2025-02-11"/>
    <x v="5"/>
    <s v="Senior Citizen"/>
    <s v="Yes"/>
    <s v="General Complaint"/>
    <s v="Walk in"/>
    <s v="General complaint reported"/>
    <n v="2"/>
    <s v="Yes"/>
    <n v="3"/>
    <s v="Delayed"/>
    <s v="Off365"/>
    <n v="13"/>
    <n v="44"/>
    <n v="9553"/>
    <n v="10572"/>
    <s v="Yes"/>
    <s v="Level 3"/>
    <d v="2025-03-11T00:00:00"/>
  </r>
  <r>
    <s v="C0365"/>
    <x v="5"/>
    <x v="4"/>
    <s v="Medium"/>
    <s v="Open"/>
    <n v="34"/>
    <s v="2025-12-11"/>
    <x v="1"/>
    <s v="Farmer"/>
    <s v="Yes"/>
    <s v="General Complaint"/>
    <s v="Email"/>
    <s v="General complaint reported"/>
    <n v="4"/>
    <s v="No"/>
    <n v="7"/>
    <s v="Delayed"/>
    <s v="Off366"/>
    <n v="14"/>
    <n v="23"/>
    <n v="34898"/>
    <n v="34242"/>
    <s v="Yes"/>
    <s v="Level 2"/>
    <d v="2026-01-14T00:00:00"/>
  </r>
  <r>
    <s v="C0366"/>
    <x v="0"/>
    <x v="6"/>
    <s v="Low"/>
    <s v="Open"/>
    <n v="29"/>
    <s v="2026-01-18"/>
    <x v="1"/>
    <s v="Senior Citizen"/>
    <s v="Yes"/>
    <s v="Water Leakage"/>
    <s v="Mobile App"/>
    <s v="Water pipe leakage near school"/>
    <n v="1"/>
    <s v="Yes"/>
    <n v="15"/>
    <s v="Delayed"/>
    <s v="Off367"/>
    <n v="13"/>
    <n v="15"/>
    <n v="23196"/>
    <n v="24913"/>
    <s v="Yes"/>
    <s v="Level 1"/>
    <d v="2026-02-16T00:00:00"/>
  </r>
  <r>
    <s v="C0367"/>
    <x v="2"/>
    <x v="7"/>
    <s v="Medium"/>
    <s v="Open"/>
    <n v="10"/>
    <s v="2025-03-30"/>
    <x v="3"/>
    <s v="Farmer"/>
    <s v="Yes"/>
    <s v="Road Damage"/>
    <s v="Website"/>
    <s v="Road damaged due to heavy rain"/>
    <n v="5"/>
    <s v="No"/>
    <n v="7"/>
    <s v="Delayed"/>
    <s v="Off368"/>
    <n v="2"/>
    <n v="8"/>
    <n v="33956"/>
    <n v="34247"/>
    <s v="Yes"/>
    <s v="Level 2"/>
    <d v="2025-04-09T00:00:00"/>
  </r>
  <r>
    <s v="C0368"/>
    <x v="4"/>
    <x v="8"/>
    <s v="Low"/>
    <s v="Closed"/>
    <n v="22"/>
    <s v="2026-01-12"/>
    <x v="0"/>
    <s v="Senior Citizen"/>
    <s v="Yes"/>
    <s v="General Complaint"/>
    <s v="Helpline"/>
    <s v="General complaint reported"/>
    <n v="1"/>
    <s v="Yes"/>
    <n v="15"/>
    <s v="Delayed"/>
    <s v="Off369"/>
    <n v="10"/>
    <n v="22"/>
    <n v="31768"/>
    <n v="31228"/>
    <s v="Yes"/>
    <s v="Level 1"/>
    <d v="2026-02-03T00:00:00"/>
  </r>
  <r>
    <s v="C0369"/>
    <x v="5"/>
    <x v="8"/>
    <s v="Medium"/>
    <s v="Open"/>
    <n v="18"/>
    <s v="2026-01-31"/>
    <x v="3"/>
    <s v="Business Owner"/>
    <s v="Yes"/>
    <s v="General Complaint"/>
    <s v="Walk in"/>
    <s v="General complaint reported"/>
    <n v="2"/>
    <s v="Yes"/>
    <n v="7"/>
    <s v="Delayed"/>
    <s v="Off370"/>
    <n v="10"/>
    <n v="9"/>
    <n v="47845"/>
    <n v="47734"/>
    <s v="Yes"/>
    <s v="Level 2"/>
    <d v="2026-02-18T00:00:00"/>
  </r>
  <r>
    <s v="C0370"/>
    <x v="5"/>
    <x v="3"/>
    <s v="Low"/>
    <s v="Resolved"/>
    <n v="7"/>
    <s v="2026-02-27"/>
    <x v="0"/>
    <s v="Student"/>
    <s v="No"/>
    <s v="General Complaint"/>
    <s v="Email"/>
    <s v="General complaint reported"/>
    <n v="2"/>
    <s v="Yes"/>
    <n v="15"/>
    <s v="Within SLA"/>
    <s v="Off371"/>
    <n v="1"/>
    <n v="38"/>
    <n v="27047"/>
    <n v="28095"/>
    <s v="No"/>
    <s v="None"/>
    <d v="2026-03-06T00:00:00"/>
  </r>
  <r>
    <s v="C0371"/>
    <x v="2"/>
    <x v="5"/>
    <s v="Low"/>
    <s v="Open"/>
    <n v="9"/>
    <s v="2026-03-18"/>
    <x v="3"/>
    <s v="Senior Citizen"/>
    <s v="Yes"/>
    <s v="Road Damage"/>
    <s v="Mobile App"/>
    <s v="Road damaged due to heavy rain"/>
    <n v="3"/>
    <s v="No"/>
    <n v="15"/>
    <s v="Within SLA"/>
    <s v="Off372"/>
    <n v="11"/>
    <n v="42"/>
    <n v="30855"/>
    <n v="29433"/>
    <s v="No"/>
    <s v="None"/>
    <d v="2026-03-27T00:00:00"/>
  </r>
  <r>
    <s v="C0372"/>
    <x v="1"/>
    <x v="3"/>
    <s v="High"/>
    <s v="Closed"/>
    <n v="15"/>
    <s v="2025-01-15"/>
    <x v="1"/>
    <s v="Student"/>
    <s v="Yes"/>
    <s v="Garbage Collection"/>
    <s v="Website"/>
    <s v="Garbage not collected for 3 days"/>
    <n v="3"/>
    <s v="No"/>
    <n v="3"/>
    <s v="Delayed"/>
    <s v="Off373"/>
    <n v="9"/>
    <n v="43"/>
    <n v="23179"/>
    <n v="22917"/>
    <s v="Yes"/>
    <s v="Level 3"/>
    <d v="2025-01-30T00:00:00"/>
  </r>
  <r>
    <s v="C0373"/>
    <x v="5"/>
    <x v="5"/>
    <s v="High"/>
    <s v="Closed"/>
    <n v="21"/>
    <s v="2025-10-14"/>
    <x v="3"/>
    <s v="Senior Citizen"/>
    <s v="Yes"/>
    <s v="General Complaint"/>
    <s v="Helpline"/>
    <s v="General complaint reported"/>
    <n v="5"/>
    <s v="No"/>
    <n v="3"/>
    <s v="Delayed"/>
    <s v="Off374"/>
    <n v="9"/>
    <n v="37"/>
    <n v="20351"/>
    <n v="18892"/>
    <s v="Yes"/>
    <s v="Level 3"/>
    <d v="2025-11-04T00:00:00"/>
  </r>
  <r>
    <s v="C0374"/>
    <x v="3"/>
    <x v="3"/>
    <s v="Low"/>
    <s v="Resolved"/>
    <n v="9"/>
    <s v="2026-01-02"/>
    <x v="3"/>
    <s v="Business Owner"/>
    <s v="Yes"/>
    <s v="Public Transport Delay"/>
    <s v="Walk in"/>
    <s v="Bus arrival delay reported"/>
    <n v="1"/>
    <s v="Yes"/>
    <n v="15"/>
    <s v="Within SLA"/>
    <s v="Off375"/>
    <n v="9"/>
    <n v="34"/>
    <n v="33149"/>
    <n v="31558"/>
    <s v="No"/>
    <s v="None"/>
    <d v="2026-01-11T00:00:00"/>
  </r>
  <r>
    <s v="C0375"/>
    <x v="3"/>
    <x v="2"/>
    <s v="High"/>
    <s v="Closed"/>
    <n v="21"/>
    <s v="2025-12-13"/>
    <x v="0"/>
    <s v="Farmer"/>
    <s v="Yes"/>
    <s v="Public Transport Delay"/>
    <s v="Email"/>
    <s v="Bus arrival delay reported"/>
    <n v="5"/>
    <s v="No"/>
    <n v="3"/>
    <s v="Delayed"/>
    <s v="Off376"/>
    <n v="2"/>
    <n v="25"/>
    <n v="11288"/>
    <n v="12764"/>
    <s v="Yes"/>
    <s v="Level 3"/>
    <d v="2026-01-03T00:00:00"/>
  </r>
  <r>
    <s v="C0376"/>
    <x v="2"/>
    <x v="1"/>
    <s v="Low"/>
    <s v="Resolved"/>
    <n v="2"/>
    <s v="2025-07-25"/>
    <x v="4"/>
    <s v="Farmer"/>
    <s v="No"/>
    <s v="Road Damage"/>
    <s v="Mobile App"/>
    <s v="Road damaged due to heavy rain"/>
    <n v="5"/>
    <s v="No"/>
    <n v="15"/>
    <s v="Within SLA"/>
    <s v="Off377"/>
    <n v="9"/>
    <n v="31"/>
    <n v="33322"/>
    <n v="32758"/>
    <s v="No"/>
    <s v="None"/>
    <d v="2025-07-27T00:00:00"/>
  </r>
  <r>
    <s v="C0377"/>
    <x v="3"/>
    <x v="9"/>
    <s v="High"/>
    <s v="In Progress"/>
    <n v="0"/>
    <s v="2025-03-04"/>
    <x v="2"/>
    <s v="Business Owner"/>
    <s v="No"/>
    <s v="Public Transport Delay"/>
    <s v="Website"/>
    <s v="Bus arrival delay reported"/>
    <n v="3"/>
    <s v="No"/>
    <n v="3"/>
    <s v="Within SLA"/>
    <s v="Off378"/>
    <n v="7"/>
    <n v="18"/>
    <n v="12057"/>
    <n v="11188"/>
    <s v="No"/>
    <s v="None"/>
    <d v="2025-03-04T00:00:00"/>
  </r>
  <r>
    <s v="C0378"/>
    <x v="4"/>
    <x v="2"/>
    <s v="Low"/>
    <s v="Resolved"/>
    <n v="30"/>
    <s v="2025-05-22"/>
    <x v="3"/>
    <s v="Senior Citizen"/>
    <s v="Yes"/>
    <s v="General Complaint"/>
    <s v="Helpline"/>
    <s v="General complaint reported"/>
    <n v="5"/>
    <s v="No"/>
    <n v="15"/>
    <s v="Delayed"/>
    <s v="Off379"/>
    <n v="8"/>
    <n v="42"/>
    <n v="21582"/>
    <n v="21777"/>
    <s v="Yes"/>
    <s v="Level 1"/>
    <d v="2025-06-21T00:00:00"/>
  </r>
  <r>
    <s v="C0379"/>
    <x v="5"/>
    <x v="9"/>
    <s v="Low"/>
    <s v="Resolved"/>
    <n v="16"/>
    <s v="2026-04-07"/>
    <x v="0"/>
    <s v="Student"/>
    <s v="Yes"/>
    <s v="General Complaint"/>
    <s v="Walk in"/>
    <s v="General complaint reported"/>
    <n v="3"/>
    <s v="No"/>
    <n v="15"/>
    <s v="Delayed"/>
    <s v="Off380"/>
    <n v="10"/>
    <n v="22"/>
    <n v="4789"/>
    <n v="6371"/>
    <s v="Yes"/>
    <s v="Level 1"/>
    <d v="2026-04-23T00:00:00"/>
  </r>
  <r>
    <s v="C0380"/>
    <x v="3"/>
    <x v="9"/>
    <s v="High"/>
    <s v="In Progress"/>
    <n v="43"/>
    <s v="2025-07-20"/>
    <x v="1"/>
    <s v="Student"/>
    <s v="Yes"/>
    <s v="Public Transport Delay"/>
    <s v="Email"/>
    <s v="Bus arrival delay reported"/>
    <n v="2"/>
    <s v="Yes"/>
    <n v="3"/>
    <s v="Delayed"/>
    <s v="Off381"/>
    <n v="6"/>
    <n v="38"/>
    <n v="40056"/>
    <n v="39088"/>
    <s v="Yes"/>
    <s v="Level 3"/>
    <d v="2025-09-01T00:00:00"/>
  </r>
  <r>
    <s v="C0381"/>
    <x v="4"/>
    <x v="2"/>
    <s v="Medium"/>
    <s v="Closed"/>
    <n v="9"/>
    <s v="2026-04-25"/>
    <x v="2"/>
    <s v="Senior Citizen"/>
    <s v="Yes"/>
    <s v="General Complaint"/>
    <s v="Mobile App"/>
    <s v="General complaint reported"/>
    <n v="1"/>
    <s v="Yes"/>
    <n v="7"/>
    <s v="Delayed"/>
    <s v="Off382"/>
    <n v="9"/>
    <n v="11"/>
    <n v="36300"/>
    <n v="34597"/>
    <s v="Yes"/>
    <s v="Level 2"/>
    <d v="2026-05-04T00:00:00"/>
  </r>
  <r>
    <s v="C0382"/>
    <x v="4"/>
    <x v="3"/>
    <s v="High"/>
    <s v="In Progress"/>
    <n v="28"/>
    <s v="2026-03-22"/>
    <x v="4"/>
    <s v="Student"/>
    <s v="Yes"/>
    <s v="General Complaint"/>
    <s v="Website"/>
    <s v="General complaint reported"/>
    <n v="1"/>
    <s v="Yes"/>
    <n v="3"/>
    <s v="Delayed"/>
    <s v="Off383"/>
    <n v="15"/>
    <n v="6"/>
    <n v="37171"/>
    <n v="36451"/>
    <s v="Yes"/>
    <s v="Level 3"/>
    <d v="2026-04-19T00:00:00"/>
  </r>
  <r>
    <s v="C0383"/>
    <x v="3"/>
    <x v="3"/>
    <s v="High"/>
    <s v="Resolved"/>
    <n v="17"/>
    <s v="2025-07-16"/>
    <x v="4"/>
    <s v="Student"/>
    <s v="Yes"/>
    <s v="Public Transport Delay"/>
    <s v="Helpline"/>
    <s v="Bus arrival delay reported"/>
    <n v="4"/>
    <s v="No"/>
    <n v="3"/>
    <s v="Delayed"/>
    <s v="Off384"/>
    <n v="5"/>
    <n v="12"/>
    <n v="19288"/>
    <n v="19997"/>
    <s v="Yes"/>
    <s v="Level 3"/>
    <d v="2025-08-02T00:00:00"/>
  </r>
  <r>
    <s v="C0384"/>
    <x v="5"/>
    <x v="8"/>
    <s v="High"/>
    <s v="Closed"/>
    <n v="26"/>
    <s v="2026-03-03"/>
    <x v="4"/>
    <s v="Business Owner"/>
    <s v="Yes"/>
    <s v="General Complaint"/>
    <s v="Walk in"/>
    <s v="General complaint reported"/>
    <n v="5"/>
    <s v="No"/>
    <n v="3"/>
    <s v="Delayed"/>
    <s v="Off385"/>
    <n v="4"/>
    <n v="14"/>
    <n v="7462"/>
    <n v="8007"/>
    <s v="Yes"/>
    <s v="Level 3"/>
    <d v="2026-03-29T00:00:00"/>
  </r>
  <r>
    <s v="C0385"/>
    <x v="1"/>
    <x v="9"/>
    <s v="Medium"/>
    <s v="In Progress"/>
    <n v="14"/>
    <s v="2026-01-03"/>
    <x v="1"/>
    <s v="Farmer"/>
    <s v="Yes"/>
    <s v="Garbage Collection"/>
    <s v="Email"/>
    <s v="Garbage not collected for 3 days"/>
    <n v="1"/>
    <s v="Yes"/>
    <n v="7"/>
    <s v="Delayed"/>
    <s v="Off386"/>
    <n v="3"/>
    <n v="15"/>
    <n v="9883"/>
    <n v="11062"/>
    <s v="Yes"/>
    <s v="Level 2"/>
    <d v="2026-01-17T00:00:00"/>
  </r>
  <r>
    <s v="C0386"/>
    <x v="5"/>
    <x v="4"/>
    <s v="Medium"/>
    <s v="Closed"/>
    <n v="27"/>
    <s v="2025-03-13"/>
    <x v="2"/>
    <s v="Student"/>
    <s v="Yes"/>
    <s v="General Complaint"/>
    <s v="Mobile App"/>
    <s v="General complaint reported"/>
    <n v="3"/>
    <s v="No"/>
    <n v="7"/>
    <s v="Delayed"/>
    <s v="Off387"/>
    <n v="15"/>
    <n v="36"/>
    <n v="31828"/>
    <n v="32577"/>
    <s v="Yes"/>
    <s v="Level 2"/>
    <d v="2025-04-09T00:00:00"/>
  </r>
  <r>
    <s v="C0387"/>
    <x v="3"/>
    <x v="0"/>
    <s v="Low"/>
    <s v="Closed"/>
    <n v="3"/>
    <s v="2025-11-01"/>
    <x v="1"/>
    <s v="Farmer"/>
    <s v="No"/>
    <s v="Public Transport Delay"/>
    <s v="Website"/>
    <s v="Bus arrival delay reported"/>
    <n v="4"/>
    <s v="No"/>
    <n v="15"/>
    <s v="Within SLA"/>
    <s v="Off388"/>
    <n v="1"/>
    <n v="30"/>
    <n v="10191"/>
    <n v="8278"/>
    <s v="No"/>
    <s v="None"/>
    <d v="2025-11-04T00:00:00"/>
  </r>
  <r>
    <s v="C0388"/>
    <x v="5"/>
    <x v="2"/>
    <s v="Medium"/>
    <s v="In Progress"/>
    <n v="31"/>
    <s v="2025-01-01"/>
    <x v="4"/>
    <s v="Senior Citizen"/>
    <s v="Yes"/>
    <s v="General Complaint"/>
    <s v="Helpline"/>
    <s v="General complaint reported"/>
    <n v="2"/>
    <s v="Yes"/>
    <n v="7"/>
    <s v="Delayed"/>
    <s v="Off389"/>
    <n v="12"/>
    <n v="14"/>
    <n v="33781"/>
    <n v="35629"/>
    <s v="Yes"/>
    <s v="Level 2"/>
    <d v="2025-02-01T00:00:00"/>
  </r>
  <r>
    <s v="C0389"/>
    <x v="0"/>
    <x v="8"/>
    <s v="Medium"/>
    <s v="Closed"/>
    <n v="14"/>
    <s v="2025-05-05"/>
    <x v="5"/>
    <s v="Senior Citizen"/>
    <s v="Yes"/>
    <s v="Water Leakage"/>
    <s v="Walk in"/>
    <s v="Water pipe leakage near school"/>
    <n v="4"/>
    <s v="No"/>
    <n v="7"/>
    <s v="Delayed"/>
    <s v="Off390"/>
    <n v="12"/>
    <n v="45"/>
    <n v="25679"/>
    <n v="26048"/>
    <s v="Yes"/>
    <s v="Level 2"/>
    <d v="2025-05-19T00:00:00"/>
  </r>
  <r>
    <s v="C0390"/>
    <x v="5"/>
    <x v="3"/>
    <s v="Low"/>
    <s v="Resolved"/>
    <n v="4"/>
    <s v="2025-11-02"/>
    <x v="2"/>
    <s v="Student"/>
    <s v="No"/>
    <s v="General Complaint"/>
    <s v="Email"/>
    <s v="General complaint reported"/>
    <n v="1"/>
    <s v="Yes"/>
    <n v="15"/>
    <s v="Within SLA"/>
    <s v="Off391"/>
    <n v="7"/>
    <n v="28"/>
    <n v="29943"/>
    <n v="31757"/>
    <s v="No"/>
    <s v="None"/>
    <d v="2025-11-06T00:00:00"/>
  </r>
  <r>
    <s v="C0391"/>
    <x v="2"/>
    <x v="4"/>
    <s v="High"/>
    <s v="Resolved"/>
    <n v="25"/>
    <s v="2025-05-07"/>
    <x v="2"/>
    <s v="Student"/>
    <s v="Yes"/>
    <s v="Road Damage"/>
    <s v="Mobile App"/>
    <s v="Road damaged due to heavy rain"/>
    <n v="4"/>
    <s v="No"/>
    <n v="3"/>
    <s v="Delayed"/>
    <s v="Off392"/>
    <n v="14"/>
    <n v="24"/>
    <n v="43195"/>
    <n v="43482"/>
    <s v="Yes"/>
    <s v="Level 3"/>
    <d v="2025-06-01T00:00:00"/>
  </r>
  <r>
    <s v="C0392"/>
    <x v="3"/>
    <x v="3"/>
    <s v="Medium"/>
    <s v="Open"/>
    <n v="30"/>
    <s v="2026-06-06"/>
    <x v="1"/>
    <s v="Student"/>
    <s v="Yes"/>
    <s v="Public Transport Delay"/>
    <s v="Website"/>
    <s v="Bus arrival delay reported"/>
    <n v="5"/>
    <s v="No"/>
    <n v="7"/>
    <s v="Delayed"/>
    <s v="Off393"/>
    <n v="11"/>
    <n v="36"/>
    <n v="24868"/>
    <n v="25350"/>
    <s v="Yes"/>
    <s v="Level 2"/>
    <d v="2026-07-06T00:00:00"/>
  </r>
  <r>
    <s v="C0393"/>
    <x v="3"/>
    <x v="9"/>
    <s v="Low"/>
    <s v="Open"/>
    <n v="37"/>
    <s v="2025-04-28"/>
    <x v="0"/>
    <s v="General"/>
    <s v="Yes"/>
    <s v="Public Transport Delay"/>
    <s v="Helpline"/>
    <s v="Bus arrival delay reported"/>
    <n v="4"/>
    <s v="No"/>
    <n v="15"/>
    <s v="Delayed"/>
    <s v="Off394"/>
    <n v="10"/>
    <n v="36"/>
    <n v="31835"/>
    <n v="33333"/>
    <s v="Yes"/>
    <s v="Level 1"/>
    <d v="2025-06-04T00:00:00"/>
  </r>
  <r>
    <s v="C0394"/>
    <x v="4"/>
    <x v="8"/>
    <s v="Medium"/>
    <s v="In Progress"/>
    <n v="15"/>
    <s v="2025-08-29"/>
    <x v="5"/>
    <s v="Farmer"/>
    <s v="Yes"/>
    <s v="General Complaint"/>
    <s v="Walk in"/>
    <s v="General complaint reported"/>
    <n v="5"/>
    <s v="No"/>
    <n v="7"/>
    <s v="Delayed"/>
    <s v="Off395"/>
    <n v="2"/>
    <n v="24"/>
    <n v="5862"/>
    <n v="4509"/>
    <s v="Yes"/>
    <s v="Level 2"/>
    <d v="2025-09-13T00:00:00"/>
  </r>
  <r>
    <s v="C0395"/>
    <x v="1"/>
    <x v="6"/>
    <s v="Medium"/>
    <s v="Closed"/>
    <n v="27"/>
    <s v="2025-04-28"/>
    <x v="1"/>
    <s v="Farmer"/>
    <s v="Yes"/>
    <s v="Garbage Collection"/>
    <s v="Email"/>
    <s v="Garbage not collected for 3 days"/>
    <n v="5"/>
    <s v="No"/>
    <n v="7"/>
    <s v="Delayed"/>
    <s v="Off396"/>
    <n v="5"/>
    <n v="10"/>
    <n v="15238"/>
    <n v="16244"/>
    <s v="Yes"/>
    <s v="Level 2"/>
    <d v="2025-05-25T00:00:00"/>
  </r>
  <r>
    <s v="C0396"/>
    <x v="0"/>
    <x v="6"/>
    <s v="Medium"/>
    <s v="Closed"/>
    <n v="30"/>
    <s v="2025-08-24"/>
    <x v="2"/>
    <s v="Senior Citizen"/>
    <s v="Yes"/>
    <s v="Water Leakage"/>
    <s v="Mobile App"/>
    <s v="Water pipe leakage near school"/>
    <n v="1"/>
    <s v="Yes"/>
    <n v="7"/>
    <s v="Delayed"/>
    <s v="Off397"/>
    <n v="9"/>
    <n v="5"/>
    <n v="3284"/>
    <n v="2671"/>
    <s v="Yes"/>
    <s v="Level 2"/>
    <d v="2025-09-23T00:00:00"/>
  </r>
  <r>
    <s v="C0397"/>
    <x v="2"/>
    <x v="7"/>
    <s v="Low"/>
    <s v="In Progress"/>
    <n v="33"/>
    <s v="2025-03-24"/>
    <x v="4"/>
    <s v="Farmer"/>
    <s v="Yes"/>
    <s v="Road Damage"/>
    <s v="Website"/>
    <s v="Road damaged due to heavy rain"/>
    <n v="4"/>
    <s v="No"/>
    <n v="15"/>
    <s v="Delayed"/>
    <s v="Off398"/>
    <n v="14"/>
    <n v="6"/>
    <n v="19747"/>
    <n v="21231"/>
    <s v="Yes"/>
    <s v="Level 1"/>
    <d v="2025-04-26T00:00:00"/>
  </r>
  <r>
    <s v="C0398"/>
    <x v="5"/>
    <x v="5"/>
    <s v="Medium"/>
    <s v="In Progress"/>
    <n v="7"/>
    <s v="2025-10-18"/>
    <x v="2"/>
    <s v="Business Owner"/>
    <s v="No"/>
    <s v="General Complaint"/>
    <s v="Helpline"/>
    <s v="General complaint reported"/>
    <n v="1"/>
    <s v="Yes"/>
    <n v="7"/>
    <s v="Within SLA"/>
    <s v="Off399"/>
    <n v="13"/>
    <n v="22"/>
    <n v="48081"/>
    <n v="46410"/>
    <s v="No"/>
    <s v="None"/>
    <d v="2025-10-25T00:00:00"/>
  </r>
  <r>
    <s v="C0399"/>
    <x v="3"/>
    <x v="1"/>
    <s v="Low"/>
    <s v="Closed"/>
    <n v="30"/>
    <s v="2025-08-10"/>
    <x v="1"/>
    <s v="Farmer"/>
    <s v="Yes"/>
    <s v="Public Transport Delay"/>
    <s v="Walk in"/>
    <s v="Bus arrival delay reported"/>
    <n v="4"/>
    <s v="No"/>
    <n v="15"/>
    <s v="Delayed"/>
    <s v="Off400"/>
    <n v="15"/>
    <n v="40"/>
    <n v="15910"/>
    <n v="15738"/>
    <s v="Yes"/>
    <s v="Level 1"/>
    <d v="2025-09-09T00:00:00"/>
  </r>
  <r>
    <s v="C0400"/>
    <x v="5"/>
    <x v="4"/>
    <s v="Medium"/>
    <s v="Closed"/>
    <n v="11"/>
    <s v="2026-06-12"/>
    <x v="1"/>
    <s v="Senior Citizen"/>
    <s v="Yes"/>
    <s v="General Complaint"/>
    <s v="Email"/>
    <s v="General complaint reported"/>
    <n v="3"/>
    <s v="No"/>
    <n v="7"/>
    <s v="Delayed"/>
    <s v="Off401"/>
    <n v="11"/>
    <n v="50"/>
    <n v="43055"/>
    <n v="44416"/>
    <s v="Yes"/>
    <s v="Level 2"/>
    <d v="2026-06-23T00:00:00"/>
  </r>
  <r>
    <s v="C0401"/>
    <x v="3"/>
    <x v="2"/>
    <s v="Medium"/>
    <s v="Closed"/>
    <n v="24"/>
    <s v="2025-09-15"/>
    <x v="4"/>
    <s v="Student"/>
    <s v="Yes"/>
    <s v="Public Transport Delay"/>
    <s v="Mobile App"/>
    <s v="Bus arrival delay reported"/>
    <n v="4"/>
    <s v="No"/>
    <n v="7"/>
    <s v="Delayed"/>
    <s v="Off402"/>
    <n v="11"/>
    <n v="49"/>
    <n v="11765"/>
    <n v="9961"/>
    <s v="Yes"/>
    <s v="Level 2"/>
    <d v="2025-10-09T00:00:00"/>
  </r>
  <r>
    <s v="C0402"/>
    <x v="4"/>
    <x v="6"/>
    <s v="Medium"/>
    <s v="Open"/>
    <n v="6"/>
    <s v="2025-12-10"/>
    <x v="3"/>
    <s v="General"/>
    <s v="No"/>
    <s v="General Complaint"/>
    <s v="Website"/>
    <s v="General complaint reported"/>
    <n v="2"/>
    <s v="Yes"/>
    <n v="7"/>
    <s v="Within SLA"/>
    <s v="Off403"/>
    <n v="11"/>
    <n v="30"/>
    <n v="12512"/>
    <n v="12173"/>
    <s v="No"/>
    <s v="None"/>
    <d v="2025-12-16T00:00:00"/>
  </r>
  <r>
    <s v="C0403"/>
    <x v="1"/>
    <x v="2"/>
    <s v="Low"/>
    <s v="In Progress"/>
    <n v="5"/>
    <s v="2025-09-25"/>
    <x v="3"/>
    <s v="Student"/>
    <s v="No"/>
    <s v="Garbage Collection"/>
    <s v="Helpline"/>
    <s v="Garbage not collected for 3 days"/>
    <n v="3"/>
    <s v="No"/>
    <n v="15"/>
    <s v="Within SLA"/>
    <s v="Off404"/>
    <n v="12"/>
    <n v="18"/>
    <n v="19262"/>
    <n v="20111"/>
    <s v="No"/>
    <s v="None"/>
    <d v="2025-09-30T00:00:00"/>
  </r>
  <r>
    <s v="C0404"/>
    <x v="2"/>
    <x v="6"/>
    <s v="Medium"/>
    <s v="In Progress"/>
    <n v="8"/>
    <s v="2025-05-06"/>
    <x v="5"/>
    <s v="Business Owner"/>
    <s v="Yes"/>
    <s v="Road Damage"/>
    <s v="Walk in"/>
    <s v="Road damaged due to heavy rain"/>
    <n v="5"/>
    <s v="No"/>
    <n v="7"/>
    <s v="Delayed"/>
    <s v="Off405"/>
    <n v="12"/>
    <n v="30"/>
    <n v="28159"/>
    <n v="29075"/>
    <s v="Yes"/>
    <s v="Level 2"/>
    <d v="2025-05-14T00:00:00"/>
  </r>
  <r>
    <s v="C0405"/>
    <x v="5"/>
    <x v="2"/>
    <s v="Medium"/>
    <s v="Resolved"/>
    <n v="5"/>
    <s v="2025-10-27"/>
    <x v="1"/>
    <s v="General"/>
    <s v="No"/>
    <s v="General Complaint"/>
    <s v="Email"/>
    <s v="General complaint reported"/>
    <n v="4"/>
    <s v="No"/>
    <n v="7"/>
    <s v="Within SLA"/>
    <s v="Off406"/>
    <n v="9"/>
    <n v="47"/>
    <n v="22357"/>
    <n v="20809"/>
    <s v="No"/>
    <s v="None"/>
    <d v="2025-11-01T00:00:00"/>
  </r>
  <r>
    <s v="C0406"/>
    <x v="0"/>
    <x v="8"/>
    <s v="High"/>
    <s v="Closed"/>
    <n v="11"/>
    <s v="2025-01-07"/>
    <x v="3"/>
    <s v="Business Owner"/>
    <s v="Yes"/>
    <s v="Water Leakage"/>
    <s v="Mobile App"/>
    <s v="Water pipe leakage near school"/>
    <n v="1"/>
    <s v="Yes"/>
    <n v="3"/>
    <s v="Delayed"/>
    <s v="Off407"/>
    <n v="15"/>
    <n v="40"/>
    <n v="21656"/>
    <n v="21979"/>
    <s v="Yes"/>
    <s v="Level 3"/>
    <d v="2025-01-18T00:00:00"/>
  </r>
  <r>
    <s v="C0407"/>
    <x v="1"/>
    <x v="5"/>
    <s v="High"/>
    <s v="In Progress"/>
    <n v="27"/>
    <s v="2025-11-19"/>
    <x v="1"/>
    <s v="Farmer"/>
    <s v="Yes"/>
    <s v="Garbage Collection"/>
    <s v="Website"/>
    <s v="Garbage not collected for 3 days"/>
    <n v="5"/>
    <s v="No"/>
    <n v="3"/>
    <s v="Delayed"/>
    <s v="Off408"/>
    <n v="10"/>
    <n v="7"/>
    <n v="6893"/>
    <n v="8111"/>
    <s v="Yes"/>
    <s v="Level 3"/>
    <d v="2025-12-16T00:00:00"/>
  </r>
  <r>
    <s v="C0408"/>
    <x v="4"/>
    <x v="6"/>
    <s v="High"/>
    <s v="In Progress"/>
    <n v="20"/>
    <s v="2026-05-04"/>
    <x v="2"/>
    <s v="General"/>
    <s v="Yes"/>
    <s v="General Complaint"/>
    <s v="Helpline"/>
    <s v="General complaint reported"/>
    <n v="4"/>
    <s v="No"/>
    <n v="3"/>
    <s v="Delayed"/>
    <s v="Off409"/>
    <n v="8"/>
    <n v="34"/>
    <n v="6790"/>
    <n v="6274"/>
    <s v="Yes"/>
    <s v="Level 3"/>
    <d v="2026-05-24T00:00:00"/>
  </r>
  <r>
    <s v="C0409"/>
    <x v="1"/>
    <x v="6"/>
    <s v="High"/>
    <s v="Closed"/>
    <n v="13"/>
    <s v="2026-03-26"/>
    <x v="3"/>
    <s v="General"/>
    <s v="Yes"/>
    <s v="Garbage Collection"/>
    <s v="Walk in"/>
    <s v="Garbage not collected for 3 days"/>
    <n v="4"/>
    <s v="No"/>
    <n v="3"/>
    <s v="Delayed"/>
    <s v="Off410"/>
    <n v="1"/>
    <n v="35"/>
    <n v="23553"/>
    <n v="25302"/>
    <s v="Yes"/>
    <s v="Level 3"/>
    <d v="2026-04-08T00:00:00"/>
  </r>
  <r>
    <s v="C0410"/>
    <x v="4"/>
    <x v="9"/>
    <s v="High"/>
    <s v="Open"/>
    <n v="43"/>
    <s v="2025-06-01"/>
    <x v="5"/>
    <s v="Student"/>
    <s v="Yes"/>
    <s v="General Complaint"/>
    <s v="Email"/>
    <s v="General complaint reported"/>
    <n v="2"/>
    <s v="Yes"/>
    <n v="3"/>
    <s v="Delayed"/>
    <s v="Off411"/>
    <n v="6"/>
    <n v="22"/>
    <n v="23097"/>
    <n v="21271"/>
    <s v="Yes"/>
    <s v="Level 3"/>
    <d v="2025-07-14T00:00:00"/>
  </r>
  <r>
    <s v="C0411"/>
    <x v="3"/>
    <x v="1"/>
    <s v="High"/>
    <s v="Closed"/>
    <n v="16"/>
    <s v="2026-02-05"/>
    <x v="1"/>
    <s v="Farmer"/>
    <s v="Yes"/>
    <s v="Public Transport Delay"/>
    <s v="Mobile App"/>
    <s v="Bus arrival delay reported"/>
    <n v="1"/>
    <s v="Yes"/>
    <n v="3"/>
    <s v="Delayed"/>
    <s v="Off412"/>
    <n v="4"/>
    <n v="48"/>
    <n v="11491"/>
    <n v="13268"/>
    <s v="Yes"/>
    <s v="Level 3"/>
    <d v="2026-02-21T00:00:00"/>
  </r>
  <r>
    <s v="C0412"/>
    <x v="3"/>
    <x v="6"/>
    <s v="Low"/>
    <s v="In Progress"/>
    <n v="42"/>
    <s v="2026-03-31"/>
    <x v="4"/>
    <s v="Student"/>
    <s v="Yes"/>
    <s v="Public Transport Delay"/>
    <s v="Website"/>
    <s v="Bus arrival delay reported"/>
    <n v="4"/>
    <s v="No"/>
    <n v="15"/>
    <s v="Delayed"/>
    <s v="Off413"/>
    <n v="7"/>
    <n v="46"/>
    <n v="35834"/>
    <n v="34767"/>
    <s v="Yes"/>
    <s v="Level 1"/>
    <d v="2026-05-12T00:00:00"/>
  </r>
  <r>
    <s v="C0413"/>
    <x v="5"/>
    <x v="0"/>
    <s v="High"/>
    <s v="Closed"/>
    <n v="26"/>
    <s v="2026-02-12"/>
    <x v="1"/>
    <s v="Farmer"/>
    <s v="Yes"/>
    <s v="General Complaint"/>
    <s v="Helpline"/>
    <s v="General complaint reported"/>
    <n v="1"/>
    <s v="Yes"/>
    <n v="3"/>
    <s v="Delayed"/>
    <s v="Off414"/>
    <n v="4"/>
    <n v="30"/>
    <n v="4396"/>
    <n v="4334"/>
    <s v="Yes"/>
    <s v="Level 3"/>
    <d v="2026-03-10T00:00:00"/>
  </r>
  <r>
    <s v="C0414"/>
    <x v="4"/>
    <x v="7"/>
    <s v="High"/>
    <s v="Open"/>
    <n v="21"/>
    <s v="2025-02-06"/>
    <x v="4"/>
    <s v="General"/>
    <s v="Yes"/>
    <s v="General Complaint"/>
    <s v="Walk in"/>
    <s v="General complaint reported"/>
    <n v="4"/>
    <s v="No"/>
    <n v="3"/>
    <s v="Delayed"/>
    <s v="Off415"/>
    <n v="12"/>
    <n v="34"/>
    <n v="38743"/>
    <n v="37623"/>
    <s v="Yes"/>
    <s v="Level 3"/>
    <d v="2025-02-27T00:00:00"/>
  </r>
  <r>
    <s v="C0415"/>
    <x v="1"/>
    <x v="9"/>
    <s v="High"/>
    <s v="Resolved"/>
    <n v="22"/>
    <s v="2026-01-02"/>
    <x v="3"/>
    <s v="Farmer"/>
    <s v="Yes"/>
    <s v="Garbage Collection"/>
    <s v="Email"/>
    <s v="Garbage not collected for 3 days"/>
    <n v="4"/>
    <s v="No"/>
    <n v="3"/>
    <s v="Delayed"/>
    <s v="Off416"/>
    <n v="14"/>
    <n v="14"/>
    <n v="5729"/>
    <n v="5453"/>
    <s v="Yes"/>
    <s v="Level 3"/>
    <d v="2026-01-24T00:00:00"/>
  </r>
  <r>
    <s v="C0416"/>
    <x v="0"/>
    <x v="4"/>
    <s v="Low"/>
    <s v="In Progress"/>
    <n v="28"/>
    <s v="2026-05-27"/>
    <x v="3"/>
    <s v="Senior Citizen"/>
    <s v="Yes"/>
    <s v="Water Leakage"/>
    <s v="Mobile App"/>
    <s v="Water pipe leakage near school"/>
    <n v="4"/>
    <s v="No"/>
    <n v="15"/>
    <s v="Delayed"/>
    <s v="Off417"/>
    <n v="13"/>
    <n v="41"/>
    <n v="5319"/>
    <n v="6434"/>
    <s v="Yes"/>
    <s v="Level 1"/>
    <d v="2026-06-24T00:00:00"/>
  </r>
  <r>
    <s v="C0417"/>
    <x v="3"/>
    <x v="2"/>
    <s v="High"/>
    <s v="In Progress"/>
    <n v="36"/>
    <s v="2025-04-24"/>
    <x v="5"/>
    <s v="Senior Citizen"/>
    <s v="Yes"/>
    <s v="Public Transport Delay"/>
    <s v="Website"/>
    <s v="Bus arrival delay reported"/>
    <n v="2"/>
    <s v="Yes"/>
    <n v="3"/>
    <s v="Delayed"/>
    <s v="Off418"/>
    <n v="7"/>
    <n v="39"/>
    <n v="44319"/>
    <n v="45529"/>
    <s v="Yes"/>
    <s v="Level 3"/>
    <d v="2025-05-30T00:00:00"/>
  </r>
  <r>
    <s v="C0418"/>
    <x v="2"/>
    <x v="4"/>
    <s v="Low"/>
    <s v="In Progress"/>
    <n v="29"/>
    <s v="2026-01-02"/>
    <x v="5"/>
    <s v="General"/>
    <s v="Yes"/>
    <s v="Road Damage"/>
    <s v="Helpline"/>
    <s v="Road damaged due to heavy rain"/>
    <n v="4"/>
    <s v="No"/>
    <n v="15"/>
    <s v="Delayed"/>
    <s v="Off419"/>
    <n v="8"/>
    <n v="15"/>
    <n v="49848"/>
    <n v="51778"/>
    <s v="Yes"/>
    <s v="Level 1"/>
    <d v="2026-01-31T00:00:00"/>
  </r>
  <r>
    <s v="C0419"/>
    <x v="4"/>
    <x v="4"/>
    <s v="Low"/>
    <s v="Closed"/>
    <n v="17"/>
    <s v="2025-08-01"/>
    <x v="4"/>
    <s v="Student"/>
    <s v="Yes"/>
    <s v="General Complaint"/>
    <s v="Walk in"/>
    <s v="General complaint reported"/>
    <n v="5"/>
    <s v="No"/>
    <n v="15"/>
    <s v="Delayed"/>
    <s v="Off420"/>
    <n v="4"/>
    <n v="38"/>
    <n v="3844"/>
    <n v="4891"/>
    <s v="Yes"/>
    <s v="Level 1"/>
    <d v="2025-08-18T00:00:00"/>
  </r>
  <r>
    <s v="C0420"/>
    <x v="5"/>
    <x v="6"/>
    <s v="High"/>
    <s v="In Progress"/>
    <n v="30"/>
    <s v="2025-06-24"/>
    <x v="5"/>
    <s v="Student"/>
    <s v="Yes"/>
    <s v="General Complaint"/>
    <s v="Email"/>
    <s v="General complaint reported"/>
    <n v="3"/>
    <s v="No"/>
    <n v="3"/>
    <s v="Delayed"/>
    <s v="Off421"/>
    <n v="12"/>
    <n v="33"/>
    <n v="33143"/>
    <n v="31525"/>
    <s v="Yes"/>
    <s v="Level 3"/>
    <d v="2025-07-24T00:00:00"/>
  </r>
  <r>
    <s v="C0421"/>
    <x v="1"/>
    <x v="3"/>
    <s v="High"/>
    <s v="In Progress"/>
    <n v="31"/>
    <s v="2025-09-09"/>
    <x v="3"/>
    <s v="Senior Citizen"/>
    <s v="Yes"/>
    <s v="Garbage Collection"/>
    <s v="Mobile App"/>
    <s v="Garbage not collected for 3 days"/>
    <n v="5"/>
    <s v="No"/>
    <n v="3"/>
    <s v="Delayed"/>
    <s v="Off422"/>
    <n v="13"/>
    <n v="19"/>
    <n v="29227"/>
    <n v="27479"/>
    <s v="Yes"/>
    <s v="Level 3"/>
    <d v="2025-10-10T00:00:00"/>
  </r>
  <r>
    <s v="C0422"/>
    <x v="4"/>
    <x v="9"/>
    <s v="High"/>
    <s v="Resolved"/>
    <n v="20"/>
    <s v="2026-03-16"/>
    <x v="0"/>
    <s v="Business Owner"/>
    <s v="Yes"/>
    <s v="General Complaint"/>
    <s v="Website"/>
    <s v="General complaint reported"/>
    <n v="4"/>
    <s v="No"/>
    <n v="3"/>
    <s v="Delayed"/>
    <s v="Off423"/>
    <n v="14"/>
    <n v="31"/>
    <n v="42608"/>
    <n v="41541"/>
    <s v="Yes"/>
    <s v="Level 3"/>
    <d v="2026-04-05T00:00:00"/>
  </r>
  <r>
    <s v="C0423"/>
    <x v="5"/>
    <x v="1"/>
    <s v="High"/>
    <s v="Open"/>
    <n v="12"/>
    <s v="2025-09-29"/>
    <x v="1"/>
    <s v="Student"/>
    <s v="Yes"/>
    <s v="General Complaint"/>
    <s v="Helpline"/>
    <s v="General complaint reported"/>
    <n v="5"/>
    <s v="No"/>
    <n v="3"/>
    <s v="Delayed"/>
    <s v="Off424"/>
    <n v="11"/>
    <n v="28"/>
    <n v="41420"/>
    <n v="41532"/>
    <s v="Yes"/>
    <s v="Level 3"/>
    <d v="2025-10-11T00:00:00"/>
  </r>
  <r>
    <s v="C0424"/>
    <x v="0"/>
    <x v="5"/>
    <s v="Low"/>
    <s v="Open"/>
    <n v="20"/>
    <s v="2026-03-10"/>
    <x v="4"/>
    <s v="Student"/>
    <s v="Yes"/>
    <s v="Water Leakage"/>
    <s v="Walk in"/>
    <s v="Water pipe leakage near school"/>
    <n v="5"/>
    <s v="No"/>
    <n v="15"/>
    <s v="Delayed"/>
    <s v="Off425"/>
    <n v="13"/>
    <n v="44"/>
    <n v="6222"/>
    <n v="7350"/>
    <s v="Yes"/>
    <s v="Level 1"/>
    <d v="2026-03-30T00:00:00"/>
  </r>
  <r>
    <s v="C0425"/>
    <x v="1"/>
    <x v="1"/>
    <s v="Low"/>
    <s v="In Progress"/>
    <n v="24"/>
    <s v="2025-11-02"/>
    <x v="2"/>
    <s v="Business Owner"/>
    <s v="Yes"/>
    <s v="Garbage Collection"/>
    <s v="Email"/>
    <s v="Garbage not collected for 3 days"/>
    <n v="1"/>
    <s v="Yes"/>
    <n v="15"/>
    <s v="Delayed"/>
    <s v="Off426"/>
    <n v="6"/>
    <n v="11"/>
    <n v="1478"/>
    <n v="2884"/>
    <s v="Yes"/>
    <s v="Level 1"/>
    <d v="2025-11-26T00:00:00"/>
  </r>
  <r>
    <s v="C0426"/>
    <x v="2"/>
    <x v="3"/>
    <s v="High"/>
    <s v="Closed"/>
    <n v="30"/>
    <s v="2026-05-27"/>
    <x v="2"/>
    <s v="Student"/>
    <s v="Yes"/>
    <s v="Road Damage"/>
    <s v="Mobile App"/>
    <s v="Road damaged due to heavy rain"/>
    <n v="1"/>
    <s v="Yes"/>
    <n v="3"/>
    <s v="Delayed"/>
    <s v="Off427"/>
    <n v="8"/>
    <n v="38"/>
    <n v="26922"/>
    <n v="28187"/>
    <s v="Yes"/>
    <s v="Level 3"/>
    <d v="2026-06-26T00:00:00"/>
  </r>
  <r>
    <s v="C0427"/>
    <x v="2"/>
    <x v="3"/>
    <s v="Low"/>
    <s v="Open"/>
    <n v="0"/>
    <s v="2026-01-14"/>
    <x v="3"/>
    <s v="Business Owner"/>
    <s v="No"/>
    <s v="Road Damage"/>
    <s v="Website"/>
    <s v="Road damaged due to heavy rain"/>
    <n v="5"/>
    <s v="No"/>
    <n v="15"/>
    <s v="Within SLA"/>
    <s v="Off428"/>
    <n v="2"/>
    <n v="28"/>
    <n v="27384"/>
    <n v="26001"/>
    <s v="No"/>
    <s v="None"/>
    <d v="2026-01-14T00:00:00"/>
  </r>
  <r>
    <s v="C0428"/>
    <x v="5"/>
    <x v="5"/>
    <s v="High"/>
    <s v="Resolved"/>
    <n v="24"/>
    <s v="2026-06-07"/>
    <x v="0"/>
    <s v="Business Owner"/>
    <s v="Yes"/>
    <s v="General Complaint"/>
    <s v="Helpline"/>
    <s v="General complaint reported"/>
    <n v="3"/>
    <s v="No"/>
    <n v="3"/>
    <s v="Delayed"/>
    <s v="Off429"/>
    <n v="14"/>
    <n v="37"/>
    <n v="30114"/>
    <n v="32047"/>
    <s v="Yes"/>
    <s v="Level 3"/>
    <d v="2026-07-01T00:00:00"/>
  </r>
  <r>
    <s v="C0429"/>
    <x v="0"/>
    <x v="0"/>
    <s v="High"/>
    <s v="Closed"/>
    <n v="3"/>
    <s v="2026-06-01"/>
    <x v="2"/>
    <s v="Farmer"/>
    <s v="No"/>
    <s v="Water Leakage"/>
    <s v="Walk in"/>
    <s v="Water pipe leakage near school"/>
    <n v="5"/>
    <s v="No"/>
    <n v="3"/>
    <s v="Within SLA"/>
    <s v="Off430"/>
    <n v="10"/>
    <n v="18"/>
    <n v="45388"/>
    <n v="45837"/>
    <s v="No"/>
    <s v="None"/>
    <d v="2026-06-04T00:00:00"/>
  </r>
  <r>
    <s v="C0430"/>
    <x v="3"/>
    <x v="4"/>
    <s v="Low"/>
    <s v="Open"/>
    <n v="26"/>
    <s v="2025-11-20"/>
    <x v="4"/>
    <s v="General"/>
    <s v="Yes"/>
    <s v="Public Transport Delay"/>
    <s v="Email"/>
    <s v="Bus arrival delay reported"/>
    <n v="3"/>
    <s v="No"/>
    <n v="15"/>
    <s v="Delayed"/>
    <s v="Off431"/>
    <n v="12"/>
    <n v="27"/>
    <n v="20695"/>
    <n v="20214"/>
    <s v="Yes"/>
    <s v="Level 1"/>
    <d v="2025-12-16T00:00:00"/>
  </r>
  <r>
    <s v="C0431"/>
    <x v="0"/>
    <x v="6"/>
    <s v="Medium"/>
    <s v="Closed"/>
    <n v="12"/>
    <s v="2025-01-09"/>
    <x v="1"/>
    <s v="Farmer"/>
    <s v="Yes"/>
    <s v="Water Leakage"/>
    <s v="Mobile App"/>
    <s v="Water pipe leakage near school"/>
    <n v="3"/>
    <s v="No"/>
    <n v="7"/>
    <s v="Delayed"/>
    <s v="Off432"/>
    <n v="8"/>
    <n v="27"/>
    <n v="19274"/>
    <n v="17491"/>
    <s v="Yes"/>
    <s v="Level 2"/>
    <d v="2025-01-21T00:00:00"/>
  </r>
  <r>
    <s v="C0432"/>
    <x v="0"/>
    <x v="7"/>
    <s v="Low"/>
    <s v="In Progress"/>
    <n v="37"/>
    <s v="2025-05-28"/>
    <x v="4"/>
    <s v="Senior Citizen"/>
    <s v="Yes"/>
    <s v="Water Leakage"/>
    <s v="Website"/>
    <s v="Water pipe leakage near school"/>
    <n v="5"/>
    <s v="No"/>
    <n v="15"/>
    <s v="Delayed"/>
    <s v="Off433"/>
    <n v="4"/>
    <n v="33"/>
    <n v="10727"/>
    <n v="11547"/>
    <s v="Yes"/>
    <s v="Level 1"/>
    <d v="2025-07-04T00:00:00"/>
  </r>
  <r>
    <s v="C0433"/>
    <x v="2"/>
    <x v="2"/>
    <s v="Low"/>
    <s v="In Progress"/>
    <n v="15"/>
    <s v="2025-03-02"/>
    <x v="3"/>
    <s v="Student"/>
    <s v="Yes"/>
    <s v="Road Damage"/>
    <s v="Helpline"/>
    <s v="Road damaged due to heavy rain"/>
    <n v="5"/>
    <s v="No"/>
    <n v="15"/>
    <s v="Within SLA"/>
    <s v="Off434"/>
    <n v="10"/>
    <n v="25"/>
    <n v="23455"/>
    <n v="24999"/>
    <s v="No"/>
    <s v="None"/>
    <d v="2025-03-17T00:00:00"/>
  </r>
  <r>
    <s v="C0434"/>
    <x v="1"/>
    <x v="3"/>
    <s v="High"/>
    <s v="In Progress"/>
    <n v="34"/>
    <s v="2026-05-20"/>
    <x v="5"/>
    <s v="Farmer"/>
    <s v="Yes"/>
    <s v="Garbage Collection"/>
    <s v="Walk in"/>
    <s v="Garbage not collected for 3 days"/>
    <n v="5"/>
    <s v="No"/>
    <n v="3"/>
    <s v="Delayed"/>
    <s v="Off435"/>
    <n v="14"/>
    <n v="29"/>
    <n v="20827"/>
    <n v="21127"/>
    <s v="Yes"/>
    <s v="Level 3"/>
    <d v="2026-06-23T00:00:00"/>
  </r>
  <r>
    <s v="C0435"/>
    <x v="3"/>
    <x v="2"/>
    <s v="High"/>
    <s v="Open"/>
    <n v="6"/>
    <s v="2026-06-09"/>
    <x v="5"/>
    <s v="Business Owner"/>
    <s v="No"/>
    <s v="Public Transport Delay"/>
    <s v="Email"/>
    <s v="Bus arrival delay reported"/>
    <n v="5"/>
    <s v="No"/>
    <n v="3"/>
    <s v="Delayed"/>
    <s v="Off436"/>
    <n v="13"/>
    <n v="19"/>
    <n v="42100"/>
    <n v="40541"/>
    <s v="Yes"/>
    <s v="Level 3"/>
    <d v="2026-06-15T00:00:00"/>
  </r>
  <r>
    <s v="C0436"/>
    <x v="4"/>
    <x v="8"/>
    <s v="High"/>
    <s v="Closed"/>
    <n v="2"/>
    <s v="2025-07-26"/>
    <x v="3"/>
    <s v="Business Owner"/>
    <s v="No"/>
    <s v="General Complaint"/>
    <s v="Mobile App"/>
    <s v="General complaint reported"/>
    <n v="1"/>
    <s v="Yes"/>
    <n v="3"/>
    <s v="Within SLA"/>
    <s v="Off437"/>
    <n v="7"/>
    <n v="50"/>
    <n v="22952"/>
    <n v="24509"/>
    <s v="No"/>
    <s v="None"/>
    <d v="2025-07-28T00:00:00"/>
  </r>
  <r>
    <s v="C0437"/>
    <x v="5"/>
    <x v="4"/>
    <s v="High"/>
    <s v="Resolved"/>
    <n v="22"/>
    <s v="2025-10-16"/>
    <x v="5"/>
    <s v="Business Owner"/>
    <s v="Yes"/>
    <s v="General Complaint"/>
    <s v="Website"/>
    <s v="General complaint reported"/>
    <n v="2"/>
    <s v="Yes"/>
    <n v="3"/>
    <s v="Delayed"/>
    <s v="Off438"/>
    <n v="10"/>
    <n v="44"/>
    <n v="39676"/>
    <n v="38478"/>
    <s v="Yes"/>
    <s v="Level 3"/>
    <d v="2025-11-07T00:00:00"/>
  </r>
  <r>
    <s v="C0438"/>
    <x v="2"/>
    <x v="8"/>
    <s v="High"/>
    <s v="Resolved"/>
    <n v="27"/>
    <s v="2025-09-07"/>
    <x v="1"/>
    <s v="Farmer"/>
    <s v="Yes"/>
    <s v="Road Damage"/>
    <s v="Helpline"/>
    <s v="Road damaged due to heavy rain"/>
    <n v="5"/>
    <s v="No"/>
    <n v="3"/>
    <s v="Delayed"/>
    <s v="Off439"/>
    <n v="6"/>
    <n v="7"/>
    <n v="34914"/>
    <n v="33604"/>
    <s v="Yes"/>
    <s v="Level 3"/>
    <d v="2025-10-04T00:00:00"/>
  </r>
  <r>
    <s v="C0439"/>
    <x v="0"/>
    <x v="6"/>
    <s v="High"/>
    <s v="In Progress"/>
    <n v="39"/>
    <s v="2025-03-24"/>
    <x v="5"/>
    <s v="General"/>
    <s v="Yes"/>
    <s v="Water Leakage"/>
    <s v="Walk in"/>
    <s v="Water pipe leakage near school"/>
    <n v="2"/>
    <s v="Yes"/>
    <n v="3"/>
    <s v="Delayed"/>
    <s v="Off440"/>
    <n v="4"/>
    <n v="22"/>
    <n v="2288"/>
    <n v="3943"/>
    <s v="Yes"/>
    <s v="Level 3"/>
    <d v="2025-05-02T00:00:00"/>
  </r>
  <r>
    <s v="C0440"/>
    <x v="5"/>
    <x v="5"/>
    <s v="Medium"/>
    <s v="In Progress"/>
    <n v="31"/>
    <s v="2025-12-15"/>
    <x v="2"/>
    <s v="General"/>
    <s v="Yes"/>
    <s v="General Complaint"/>
    <s v="Email"/>
    <s v="General complaint reported"/>
    <n v="2"/>
    <s v="Yes"/>
    <n v="7"/>
    <s v="Delayed"/>
    <s v="Off441"/>
    <n v="11"/>
    <n v="21"/>
    <n v="32794"/>
    <n v="32735"/>
    <s v="Yes"/>
    <s v="Level 2"/>
    <d v="2026-01-15T00:00:00"/>
  </r>
  <r>
    <s v="C0441"/>
    <x v="2"/>
    <x v="2"/>
    <s v="Low"/>
    <s v="Closed"/>
    <n v="10"/>
    <s v="2025-04-12"/>
    <x v="3"/>
    <s v="Business Owner"/>
    <s v="Yes"/>
    <s v="Road Damage"/>
    <s v="Mobile App"/>
    <s v="Road damaged due to heavy rain"/>
    <n v="5"/>
    <s v="No"/>
    <n v="15"/>
    <s v="Within SLA"/>
    <s v="Off442"/>
    <n v="10"/>
    <n v="8"/>
    <n v="13233"/>
    <n v="12844"/>
    <s v="No"/>
    <s v="None"/>
    <d v="2025-04-22T00:00:00"/>
  </r>
  <r>
    <s v="C0442"/>
    <x v="1"/>
    <x v="0"/>
    <s v="Low"/>
    <s v="Closed"/>
    <n v="3"/>
    <s v="2026-02-09"/>
    <x v="4"/>
    <s v="General"/>
    <s v="No"/>
    <s v="Garbage Collection"/>
    <s v="Website"/>
    <s v="Garbage not collected for 3 days"/>
    <n v="1"/>
    <s v="Yes"/>
    <n v="15"/>
    <s v="Within SLA"/>
    <s v="Off443"/>
    <n v="5"/>
    <n v="44"/>
    <n v="49942"/>
    <n v="51146"/>
    <s v="No"/>
    <s v="None"/>
    <d v="2026-02-12T00:00:00"/>
  </r>
  <r>
    <s v="C0443"/>
    <x v="2"/>
    <x v="8"/>
    <s v="Low"/>
    <s v="Resolved"/>
    <n v="17"/>
    <s v="2025-11-20"/>
    <x v="4"/>
    <s v="Student"/>
    <s v="Yes"/>
    <s v="Road Damage"/>
    <s v="Helpline"/>
    <s v="Road damaged due to heavy rain"/>
    <n v="4"/>
    <s v="No"/>
    <n v="15"/>
    <s v="Delayed"/>
    <s v="Off444"/>
    <n v="14"/>
    <n v="18"/>
    <n v="45898"/>
    <n v="45586"/>
    <s v="Yes"/>
    <s v="Level 1"/>
    <d v="2025-12-07T00:00:00"/>
  </r>
  <r>
    <s v="C0444"/>
    <x v="1"/>
    <x v="8"/>
    <s v="High"/>
    <s v="Closed"/>
    <n v="13"/>
    <s v="2025-09-04"/>
    <x v="4"/>
    <s v="Business Owner"/>
    <s v="Yes"/>
    <s v="Garbage Collection"/>
    <s v="Walk in"/>
    <s v="Garbage not collected for 3 days"/>
    <n v="4"/>
    <s v="No"/>
    <n v="3"/>
    <s v="Delayed"/>
    <s v="Off445"/>
    <n v="5"/>
    <n v="17"/>
    <n v="43785"/>
    <n v="42970"/>
    <s v="Yes"/>
    <s v="Level 3"/>
    <d v="2025-09-17T00:00:00"/>
  </r>
  <r>
    <s v="C0445"/>
    <x v="1"/>
    <x v="3"/>
    <s v="High"/>
    <s v="Closed"/>
    <n v="30"/>
    <s v="2026-04-28"/>
    <x v="5"/>
    <s v="General"/>
    <s v="Yes"/>
    <s v="Garbage Collection"/>
    <s v="Email"/>
    <s v="Garbage not collected for 3 days"/>
    <n v="3"/>
    <s v="No"/>
    <n v="3"/>
    <s v="Delayed"/>
    <s v="Off446"/>
    <n v="1"/>
    <n v="6"/>
    <n v="33219"/>
    <n v="33552"/>
    <s v="Yes"/>
    <s v="Level 3"/>
    <d v="2026-05-28T00:00:00"/>
  </r>
  <r>
    <s v="C0446"/>
    <x v="5"/>
    <x v="5"/>
    <s v="Low"/>
    <s v="In Progress"/>
    <n v="41"/>
    <s v="2025-12-06"/>
    <x v="2"/>
    <s v="Senior Citizen"/>
    <s v="Yes"/>
    <s v="General Complaint"/>
    <s v="Mobile App"/>
    <s v="General complaint reported"/>
    <n v="4"/>
    <s v="No"/>
    <n v="15"/>
    <s v="Delayed"/>
    <s v="Off447"/>
    <n v="3"/>
    <n v="8"/>
    <n v="26374"/>
    <n v="26950"/>
    <s v="Yes"/>
    <s v="Level 1"/>
    <d v="2026-01-16T00:00:00"/>
  </r>
  <r>
    <s v="C0447"/>
    <x v="1"/>
    <x v="7"/>
    <s v="Medium"/>
    <s v="Closed"/>
    <n v="6"/>
    <s v="2025-10-23"/>
    <x v="2"/>
    <s v="General"/>
    <s v="No"/>
    <s v="Garbage Collection"/>
    <s v="Website"/>
    <s v="Garbage not collected for 3 days"/>
    <n v="5"/>
    <s v="No"/>
    <n v="7"/>
    <s v="Within SLA"/>
    <s v="Off448"/>
    <n v="1"/>
    <n v="13"/>
    <n v="31705"/>
    <n v="31131"/>
    <s v="No"/>
    <s v="None"/>
    <d v="2025-10-29T00:00:00"/>
  </r>
  <r>
    <s v="C0448"/>
    <x v="0"/>
    <x v="5"/>
    <s v="Low"/>
    <s v="Resolved"/>
    <n v="23"/>
    <s v="2025-04-16"/>
    <x v="5"/>
    <s v="Student"/>
    <s v="Yes"/>
    <s v="Water Leakage"/>
    <s v="Helpline"/>
    <s v="Water pipe leakage near school"/>
    <n v="2"/>
    <s v="Yes"/>
    <n v="15"/>
    <s v="Delayed"/>
    <s v="Off449"/>
    <n v="7"/>
    <n v="46"/>
    <n v="27265"/>
    <n v="26350"/>
    <s v="Yes"/>
    <s v="Level 1"/>
    <d v="2025-05-09T00:00:00"/>
  </r>
  <r>
    <s v="C0449"/>
    <x v="2"/>
    <x v="6"/>
    <s v="Low"/>
    <s v="Resolved"/>
    <n v="14"/>
    <s v="2026-05-12"/>
    <x v="2"/>
    <s v="Farmer"/>
    <s v="Yes"/>
    <s v="Road Damage"/>
    <s v="Walk in"/>
    <s v="Road damaged due to heavy rain"/>
    <n v="5"/>
    <s v="No"/>
    <n v="15"/>
    <s v="Within SLA"/>
    <s v="Off450"/>
    <n v="4"/>
    <n v="11"/>
    <n v="27042"/>
    <n v="28003"/>
    <s v="No"/>
    <s v="None"/>
    <d v="2026-05-26T00:00:00"/>
  </r>
  <r>
    <s v="C0450"/>
    <x v="2"/>
    <x v="2"/>
    <s v="High"/>
    <s v="In Progress"/>
    <n v="45"/>
    <s v="2026-05-29"/>
    <x v="0"/>
    <s v="Senior Citizen"/>
    <s v="Yes"/>
    <s v="Road Damage"/>
    <s v="Email"/>
    <s v="Road damaged due to heavy rain"/>
    <n v="5"/>
    <s v="No"/>
    <n v="3"/>
    <s v="Delayed"/>
    <s v="Off451"/>
    <n v="1"/>
    <n v="46"/>
    <n v="46281"/>
    <n v="46042"/>
    <s v="Yes"/>
    <s v="Level 3"/>
    <d v="2026-07-13T00:00:00"/>
  </r>
  <r>
    <s v="C0451"/>
    <x v="0"/>
    <x v="0"/>
    <s v="Low"/>
    <s v="In Progress"/>
    <n v="2"/>
    <s v="2025-11-05"/>
    <x v="0"/>
    <s v="Farmer"/>
    <s v="No"/>
    <s v="Water Leakage"/>
    <s v="Mobile App"/>
    <s v="Water pipe leakage near school"/>
    <n v="3"/>
    <s v="No"/>
    <n v="15"/>
    <s v="Within SLA"/>
    <s v="Off452"/>
    <n v="11"/>
    <n v="25"/>
    <n v="35364"/>
    <n v="36324"/>
    <s v="No"/>
    <s v="None"/>
    <d v="2025-11-07T00:00:00"/>
  </r>
  <r>
    <s v="C0452"/>
    <x v="2"/>
    <x v="8"/>
    <s v="Low"/>
    <s v="Closed"/>
    <n v="16"/>
    <s v="2025-10-23"/>
    <x v="3"/>
    <s v="Farmer"/>
    <s v="Yes"/>
    <s v="Road Damage"/>
    <s v="Website"/>
    <s v="Road damaged due to heavy rain"/>
    <n v="1"/>
    <s v="Yes"/>
    <n v="15"/>
    <s v="Delayed"/>
    <s v="Off453"/>
    <n v="10"/>
    <n v="33"/>
    <n v="32034"/>
    <n v="30038"/>
    <s v="Yes"/>
    <s v="Level 1"/>
    <d v="2025-11-08T00:00:00"/>
  </r>
  <r>
    <s v="C0453"/>
    <x v="1"/>
    <x v="4"/>
    <s v="High"/>
    <s v="Resolved"/>
    <n v="22"/>
    <s v="2025-12-01"/>
    <x v="5"/>
    <s v="General"/>
    <s v="Yes"/>
    <s v="Garbage Collection"/>
    <s v="Helpline"/>
    <s v="Garbage not collected for 3 days"/>
    <n v="1"/>
    <s v="Yes"/>
    <n v="3"/>
    <s v="Delayed"/>
    <s v="Off454"/>
    <n v="12"/>
    <n v="26"/>
    <n v="44366"/>
    <n v="43739"/>
    <s v="Yes"/>
    <s v="Level 3"/>
    <d v="2025-12-23T00:00:00"/>
  </r>
  <r>
    <s v="C0454"/>
    <x v="4"/>
    <x v="3"/>
    <s v="Low"/>
    <s v="Open"/>
    <n v="24"/>
    <s v="2026-04-19"/>
    <x v="4"/>
    <s v="Senior Citizen"/>
    <s v="Yes"/>
    <s v="General Complaint"/>
    <s v="Walk in"/>
    <s v="General complaint reported"/>
    <n v="5"/>
    <s v="No"/>
    <n v="15"/>
    <s v="Delayed"/>
    <s v="Off455"/>
    <n v="9"/>
    <n v="29"/>
    <n v="17132"/>
    <n v="15499"/>
    <s v="Yes"/>
    <s v="Level 1"/>
    <d v="2026-05-13T00:00:00"/>
  </r>
  <r>
    <s v="C0455"/>
    <x v="0"/>
    <x v="9"/>
    <s v="High"/>
    <s v="Resolved"/>
    <n v="20"/>
    <s v="2025-06-03"/>
    <x v="1"/>
    <s v="Senior Citizen"/>
    <s v="Yes"/>
    <s v="Water Leakage"/>
    <s v="Email"/>
    <s v="Water pipe leakage near school"/>
    <n v="4"/>
    <s v="No"/>
    <n v="3"/>
    <s v="Delayed"/>
    <s v="Off456"/>
    <n v="5"/>
    <n v="23"/>
    <n v="5012"/>
    <n v="6284"/>
    <s v="Yes"/>
    <s v="Level 3"/>
    <d v="2025-06-23T00:00:00"/>
  </r>
  <r>
    <s v="C0456"/>
    <x v="2"/>
    <x v="3"/>
    <s v="High"/>
    <s v="In Progress"/>
    <n v="23"/>
    <s v="2026-03-25"/>
    <x v="2"/>
    <s v="Student"/>
    <s v="Yes"/>
    <s v="Road Damage"/>
    <s v="Mobile App"/>
    <s v="Road damaged due to heavy rain"/>
    <n v="3"/>
    <s v="No"/>
    <n v="3"/>
    <s v="Delayed"/>
    <s v="Off457"/>
    <n v="13"/>
    <n v="45"/>
    <n v="30386"/>
    <n v="30913"/>
    <s v="Yes"/>
    <s v="Level 3"/>
    <d v="2026-04-17T00:00:00"/>
  </r>
  <r>
    <s v="C0457"/>
    <x v="0"/>
    <x v="3"/>
    <s v="High"/>
    <s v="Resolved"/>
    <n v="22"/>
    <s v="2025-08-26"/>
    <x v="5"/>
    <s v="General"/>
    <s v="Yes"/>
    <s v="Water Leakage"/>
    <s v="Website"/>
    <s v="Water pipe leakage near school"/>
    <n v="4"/>
    <s v="No"/>
    <n v="3"/>
    <s v="Delayed"/>
    <s v="Off458"/>
    <n v="8"/>
    <n v="25"/>
    <n v="26783"/>
    <n v="26353"/>
    <s v="Yes"/>
    <s v="Level 3"/>
    <d v="2025-09-17T00:00:00"/>
  </r>
  <r>
    <s v="C0458"/>
    <x v="2"/>
    <x v="9"/>
    <s v="High"/>
    <s v="Closed"/>
    <n v="10"/>
    <s v="2025-10-21"/>
    <x v="4"/>
    <s v="Farmer"/>
    <s v="Yes"/>
    <s v="Road Damage"/>
    <s v="Helpline"/>
    <s v="Road damaged due to heavy rain"/>
    <n v="3"/>
    <s v="No"/>
    <n v="3"/>
    <s v="Delayed"/>
    <s v="Off459"/>
    <n v="5"/>
    <n v="9"/>
    <n v="35860"/>
    <n v="37201"/>
    <s v="Yes"/>
    <s v="Level 3"/>
    <d v="2025-10-31T00:00:00"/>
  </r>
  <r>
    <s v="C0459"/>
    <x v="4"/>
    <x v="1"/>
    <s v="Medium"/>
    <s v="Open"/>
    <n v="14"/>
    <s v="2026-01-24"/>
    <x v="3"/>
    <s v="Business Owner"/>
    <s v="Yes"/>
    <s v="General Complaint"/>
    <s v="Walk in"/>
    <s v="General complaint reported"/>
    <n v="3"/>
    <s v="No"/>
    <n v="7"/>
    <s v="Delayed"/>
    <s v="Off460"/>
    <n v="11"/>
    <n v="9"/>
    <n v="23352"/>
    <n v="23744"/>
    <s v="Yes"/>
    <s v="Level 2"/>
    <d v="2026-02-07T00:00:00"/>
  </r>
  <r>
    <s v="C0460"/>
    <x v="4"/>
    <x v="6"/>
    <s v="Low"/>
    <s v="In Progress"/>
    <n v="4"/>
    <s v="2025-03-16"/>
    <x v="1"/>
    <s v="Senior Citizen"/>
    <s v="No"/>
    <s v="General Complaint"/>
    <s v="Email"/>
    <s v="General complaint reported"/>
    <n v="2"/>
    <s v="Yes"/>
    <n v="15"/>
    <s v="Within SLA"/>
    <s v="Off461"/>
    <n v="2"/>
    <n v="15"/>
    <n v="7362"/>
    <n v="7859"/>
    <s v="No"/>
    <s v="None"/>
    <d v="2025-03-20T00:00:00"/>
  </r>
  <r>
    <s v="C0461"/>
    <x v="0"/>
    <x v="8"/>
    <s v="High"/>
    <s v="Resolved"/>
    <n v="6"/>
    <s v="2026-02-13"/>
    <x v="5"/>
    <s v="General"/>
    <s v="No"/>
    <s v="Water Leakage"/>
    <s v="Mobile App"/>
    <s v="Water pipe leakage near school"/>
    <n v="2"/>
    <s v="Yes"/>
    <n v="3"/>
    <s v="Delayed"/>
    <s v="Off462"/>
    <n v="12"/>
    <n v="39"/>
    <n v="46786"/>
    <n v="48483"/>
    <s v="Yes"/>
    <s v="Level 3"/>
    <d v="2026-02-19T00:00:00"/>
  </r>
  <r>
    <s v="C0462"/>
    <x v="0"/>
    <x v="2"/>
    <s v="Medium"/>
    <s v="Open"/>
    <n v="6"/>
    <s v="2026-04-02"/>
    <x v="5"/>
    <s v="General"/>
    <s v="No"/>
    <s v="Water Leakage"/>
    <s v="Website"/>
    <s v="Water pipe leakage near school"/>
    <n v="2"/>
    <s v="Yes"/>
    <n v="7"/>
    <s v="Within SLA"/>
    <s v="Off463"/>
    <n v="7"/>
    <n v="38"/>
    <n v="7353"/>
    <n v="7537"/>
    <s v="No"/>
    <s v="None"/>
    <d v="2026-04-08T00:00:00"/>
  </r>
  <r>
    <s v="C0463"/>
    <x v="3"/>
    <x v="7"/>
    <s v="Low"/>
    <s v="Open"/>
    <n v="36"/>
    <s v="2025-07-18"/>
    <x v="2"/>
    <s v="General"/>
    <s v="Yes"/>
    <s v="Public Transport Delay"/>
    <s v="Helpline"/>
    <s v="Bus arrival delay reported"/>
    <n v="5"/>
    <s v="No"/>
    <n v="15"/>
    <s v="Delayed"/>
    <s v="Off464"/>
    <n v="12"/>
    <n v="35"/>
    <n v="49163"/>
    <n v="47769"/>
    <s v="Yes"/>
    <s v="Level 1"/>
    <d v="2025-08-23T00:00:00"/>
  </r>
  <r>
    <s v="C0464"/>
    <x v="5"/>
    <x v="8"/>
    <s v="High"/>
    <s v="Closed"/>
    <n v="3"/>
    <s v="2025-09-14"/>
    <x v="1"/>
    <s v="General"/>
    <s v="No"/>
    <s v="General Complaint"/>
    <s v="Walk in"/>
    <s v="General complaint reported"/>
    <n v="4"/>
    <s v="No"/>
    <n v="3"/>
    <s v="Within SLA"/>
    <s v="Off465"/>
    <n v="10"/>
    <n v="36"/>
    <n v="13563"/>
    <n v="12689"/>
    <s v="No"/>
    <s v="None"/>
    <d v="2025-09-17T00:00:00"/>
  </r>
  <r>
    <s v="C0465"/>
    <x v="5"/>
    <x v="5"/>
    <s v="Medium"/>
    <s v="Resolved"/>
    <n v="18"/>
    <s v="2025-09-04"/>
    <x v="0"/>
    <s v="General"/>
    <s v="Yes"/>
    <s v="General Complaint"/>
    <s v="Email"/>
    <s v="General complaint reported"/>
    <n v="3"/>
    <s v="No"/>
    <n v="7"/>
    <s v="Delayed"/>
    <s v="Off466"/>
    <n v="13"/>
    <n v="40"/>
    <n v="13179"/>
    <n v="15039"/>
    <s v="Yes"/>
    <s v="Level 2"/>
    <d v="2025-09-22T00:00:00"/>
  </r>
  <r>
    <s v="C0466"/>
    <x v="0"/>
    <x v="2"/>
    <s v="High"/>
    <s v="In Progress"/>
    <n v="40"/>
    <s v="2026-04-16"/>
    <x v="0"/>
    <s v="Farmer"/>
    <s v="Yes"/>
    <s v="Water Leakage"/>
    <s v="Mobile App"/>
    <s v="Water pipe leakage near school"/>
    <n v="4"/>
    <s v="No"/>
    <n v="3"/>
    <s v="Delayed"/>
    <s v="Off467"/>
    <n v="6"/>
    <n v="26"/>
    <n v="30551"/>
    <n v="30831"/>
    <s v="Yes"/>
    <s v="Level 3"/>
    <d v="2026-05-26T00:00:00"/>
  </r>
  <r>
    <s v="C0467"/>
    <x v="5"/>
    <x v="9"/>
    <s v="Medium"/>
    <s v="Closed"/>
    <n v="1"/>
    <s v="2025-12-06"/>
    <x v="3"/>
    <s v="Business Owner"/>
    <s v="No"/>
    <s v="General Complaint"/>
    <s v="Website"/>
    <s v="General complaint reported"/>
    <n v="2"/>
    <s v="Yes"/>
    <n v="7"/>
    <s v="Within SLA"/>
    <s v="Off468"/>
    <n v="13"/>
    <n v="37"/>
    <n v="6378"/>
    <n v="6073"/>
    <s v="No"/>
    <s v="None"/>
    <d v="2025-12-07T00:00:00"/>
  </r>
  <r>
    <s v="C0468"/>
    <x v="0"/>
    <x v="7"/>
    <s v="Low"/>
    <s v="Open"/>
    <n v="7"/>
    <s v="2025-01-23"/>
    <x v="5"/>
    <s v="General"/>
    <s v="No"/>
    <s v="Water Leakage"/>
    <s v="Helpline"/>
    <s v="Water pipe leakage near school"/>
    <n v="5"/>
    <s v="No"/>
    <n v="15"/>
    <s v="Within SLA"/>
    <s v="Off469"/>
    <n v="10"/>
    <n v="24"/>
    <n v="7208"/>
    <n v="7609"/>
    <s v="No"/>
    <s v="None"/>
    <d v="2025-01-30T00:00:00"/>
  </r>
  <r>
    <s v="C0469"/>
    <x v="2"/>
    <x v="8"/>
    <s v="Medium"/>
    <s v="In Progress"/>
    <n v="30"/>
    <s v="2026-06-14"/>
    <x v="1"/>
    <s v="Business Owner"/>
    <s v="Yes"/>
    <s v="Road Damage"/>
    <s v="Walk in"/>
    <s v="Road damaged due to heavy rain"/>
    <n v="2"/>
    <s v="Yes"/>
    <n v="7"/>
    <s v="Delayed"/>
    <s v="Off470"/>
    <n v="13"/>
    <n v="49"/>
    <n v="38936"/>
    <n v="38703"/>
    <s v="Yes"/>
    <s v="Level 2"/>
    <d v="2026-07-14T00:00:00"/>
  </r>
  <r>
    <s v="C0470"/>
    <x v="0"/>
    <x v="1"/>
    <s v="Low"/>
    <s v="In Progress"/>
    <n v="23"/>
    <s v="2025-10-17"/>
    <x v="2"/>
    <s v="Student"/>
    <s v="Yes"/>
    <s v="Water Leakage"/>
    <s v="Email"/>
    <s v="Water pipe leakage near school"/>
    <n v="5"/>
    <s v="No"/>
    <n v="15"/>
    <s v="Delayed"/>
    <s v="Off471"/>
    <n v="13"/>
    <n v="42"/>
    <n v="6496"/>
    <n v="7094"/>
    <s v="Yes"/>
    <s v="Level 1"/>
    <d v="2025-11-09T00:00:00"/>
  </r>
  <r>
    <s v="C0471"/>
    <x v="5"/>
    <x v="1"/>
    <s v="Medium"/>
    <s v="Closed"/>
    <n v="14"/>
    <s v="2025-07-21"/>
    <x v="5"/>
    <s v="Senior Citizen"/>
    <s v="Yes"/>
    <s v="General Complaint"/>
    <s v="Mobile App"/>
    <s v="General complaint reported"/>
    <n v="1"/>
    <s v="Yes"/>
    <n v="7"/>
    <s v="Delayed"/>
    <s v="Off472"/>
    <n v="11"/>
    <n v="30"/>
    <n v="7018"/>
    <n v="6816"/>
    <s v="Yes"/>
    <s v="Level 2"/>
    <d v="2025-08-04T00:00:00"/>
  </r>
  <r>
    <s v="C0472"/>
    <x v="5"/>
    <x v="3"/>
    <s v="High"/>
    <s v="In Progress"/>
    <n v="21"/>
    <s v="2025-05-15"/>
    <x v="4"/>
    <s v="Senior Citizen"/>
    <s v="Yes"/>
    <s v="General Complaint"/>
    <s v="Website"/>
    <s v="General complaint reported"/>
    <n v="1"/>
    <s v="Yes"/>
    <n v="3"/>
    <s v="Delayed"/>
    <s v="Off473"/>
    <n v="14"/>
    <n v="23"/>
    <n v="23115"/>
    <n v="23557"/>
    <s v="Yes"/>
    <s v="Level 3"/>
    <d v="2025-06-05T00:00:00"/>
  </r>
  <r>
    <s v="C0473"/>
    <x v="4"/>
    <x v="8"/>
    <s v="High"/>
    <s v="Closed"/>
    <n v="21"/>
    <s v="2025-06-30"/>
    <x v="3"/>
    <s v="General"/>
    <s v="Yes"/>
    <s v="General Complaint"/>
    <s v="Helpline"/>
    <s v="General complaint reported"/>
    <n v="1"/>
    <s v="Yes"/>
    <n v="3"/>
    <s v="Delayed"/>
    <s v="Off474"/>
    <n v="7"/>
    <n v="9"/>
    <n v="28967"/>
    <n v="30276"/>
    <s v="Yes"/>
    <s v="Level 3"/>
    <d v="2025-07-21T00:00:00"/>
  </r>
  <r>
    <s v="C0474"/>
    <x v="0"/>
    <x v="5"/>
    <s v="Low"/>
    <s v="Open"/>
    <n v="31"/>
    <s v="2026-06-16"/>
    <x v="5"/>
    <s v="Farmer"/>
    <s v="Yes"/>
    <s v="Water Leakage"/>
    <s v="Walk in"/>
    <s v="Water pipe leakage near school"/>
    <n v="4"/>
    <s v="No"/>
    <n v="15"/>
    <s v="Delayed"/>
    <s v="Off475"/>
    <n v="15"/>
    <n v="43"/>
    <n v="2457"/>
    <n v="2855"/>
    <s v="Yes"/>
    <s v="Level 1"/>
    <d v="2026-07-17T00:00:00"/>
  </r>
  <r>
    <s v="C0475"/>
    <x v="0"/>
    <x v="8"/>
    <s v="Medium"/>
    <s v="Open"/>
    <n v="40"/>
    <s v="2026-02-21"/>
    <x v="2"/>
    <s v="Farmer"/>
    <s v="Yes"/>
    <s v="Water Leakage"/>
    <s v="Email"/>
    <s v="Water pipe leakage near school"/>
    <n v="4"/>
    <s v="No"/>
    <n v="7"/>
    <s v="Delayed"/>
    <s v="Off476"/>
    <n v="3"/>
    <n v="5"/>
    <n v="18458"/>
    <n v="17376"/>
    <s v="Yes"/>
    <s v="Level 2"/>
    <d v="2026-04-02T00:00:00"/>
  </r>
  <r>
    <s v="C0476"/>
    <x v="0"/>
    <x v="3"/>
    <s v="Low"/>
    <s v="In Progress"/>
    <n v="41"/>
    <s v="2025-01-16"/>
    <x v="4"/>
    <s v="Business Owner"/>
    <s v="Yes"/>
    <s v="Water Leakage"/>
    <s v="Mobile App"/>
    <s v="Water pipe leakage near school"/>
    <n v="5"/>
    <s v="No"/>
    <n v="15"/>
    <s v="Delayed"/>
    <s v="Off477"/>
    <n v="11"/>
    <n v="49"/>
    <n v="45995"/>
    <n v="45834"/>
    <s v="Yes"/>
    <s v="Level 1"/>
    <d v="2025-02-26T00:00:00"/>
  </r>
  <r>
    <s v="C0477"/>
    <x v="2"/>
    <x v="5"/>
    <s v="High"/>
    <s v="Resolved"/>
    <n v="13"/>
    <s v="2025-06-03"/>
    <x v="4"/>
    <s v="Student"/>
    <s v="Yes"/>
    <s v="Road Damage"/>
    <s v="Website"/>
    <s v="Road damaged due to heavy rain"/>
    <n v="1"/>
    <s v="Yes"/>
    <n v="3"/>
    <s v="Delayed"/>
    <s v="Off478"/>
    <n v="4"/>
    <n v="24"/>
    <n v="15085"/>
    <n v="15248"/>
    <s v="Yes"/>
    <s v="Level 3"/>
    <d v="2025-06-16T00:00:00"/>
  </r>
  <r>
    <s v="C0478"/>
    <x v="1"/>
    <x v="0"/>
    <s v="Low"/>
    <s v="In Progress"/>
    <n v="8"/>
    <s v="2025-01-07"/>
    <x v="1"/>
    <s v="General"/>
    <s v="Yes"/>
    <s v="Garbage Collection"/>
    <s v="Helpline"/>
    <s v="Garbage not collected for 3 days"/>
    <n v="5"/>
    <s v="No"/>
    <n v="15"/>
    <s v="Within SLA"/>
    <s v="Off479"/>
    <n v="2"/>
    <n v="9"/>
    <n v="21432"/>
    <n v="22392"/>
    <s v="No"/>
    <s v="None"/>
    <d v="2025-01-15T00:00:00"/>
  </r>
  <r>
    <s v="C0479"/>
    <x v="5"/>
    <x v="3"/>
    <s v="High"/>
    <s v="Closed"/>
    <n v="16"/>
    <s v="2025-02-27"/>
    <x v="0"/>
    <s v="General"/>
    <s v="Yes"/>
    <s v="General Complaint"/>
    <s v="Walk in"/>
    <s v="General complaint reported"/>
    <n v="2"/>
    <s v="Yes"/>
    <n v="3"/>
    <s v="Delayed"/>
    <s v="Off480"/>
    <n v="2"/>
    <n v="32"/>
    <n v="42364"/>
    <n v="43909"/>
    <s v="Yes"/>
    <s v="Level 3"/>
    <d v="2025-03-15T00:00:00"/>
  </r>
  <r>
    <s v="C0480"/>
    <x v="3"/>
    <x v="6"/>
    <s v="High"/>
    <s v="Resolved"/>
    <n v="21"/>
    <s v="2025-03-25"/>
    <x v="2"/>
    <s v="Farmer"/>
    <s v="Yes"/>
    <s v="Public Transport Delay"/>
    <s v="Email"/>
    <s v="Bus arrival delay reported"/>
    <n v="2"/>
    <s v="Yes"/>
    <n v="3"/>
    <s v="Delayed"/>
    <s v="Off481"/>
    <n v="15"/>
    <n v="9"/>
    <n v="15059"/>
    <n v="16634"/>
    <s v="Yes"/>
    <s v="Level 3"/>
    <d v="2025-04-15T00:00:00"/>
  </r>
  <r>
    <s v="C0481"/>
    <x v="0"/>
    <x v="9"/>
    <s v="Low"/>
    <s v="Open"/>
    <n v="44"/>
    <s v="2025-11-08"/>
    <x v="4"/>
    <s v="Farmer"/>
    <s v="Yes"/>
    <s v="Water Leakage"/>
    <s v="Mobile App"/>
    <s v="Water pipe leakage near school"/>
    <n v="2"/>
    <s v="Yes"/>
    <n v="15"/>
    <s v="Delayed"/>
    <s v="Off482"/>
    <n v="5"/>
    <n v="11"/>
    <n v="10514"/>
    <n v="12021"/>
    <s v="Yes"/>
    <s v="Level 1"/>
    <d v="2025-12-22T00:00:00"/>
  </r>
  <r>
    <s v="C0482"/>
    <x v="1"/>
    <x v="7"/>
    <s v="Low"/>
    <s v="In Progress"/>
    <n v="7"/>
    <s v="2025-02-20"/>
    <x v="0"/>
    <s v="Farmer"/>
    <s v="No"/>
    <s v="Garbage Collection"/>
    <s v="Website"/>
    <s v="Garbage not collected for 3 days"/>
    <n v="1"/>
    <s v="Yes"/>
    <n v="15"/>
    <s v="Within SLA"/>
    <s v="Off483"/>
    <n v="14"/>
    <n v="11"/>
    <n v="11882"/>
    <n v="10345"/>
    <s v="No"/>
    <s v="None"/>
    <d v="2025-02-27T00:00:00"/>
  </r>
  <r>
    <s v="C0483"/>
    <x v="3"/>
    <x v="4"/>
    <s v="Low"/>
    <s v="Open"/>
    <n v="20"/>
    <s v="2026-01-11"/>
    <x v="1"/>
    <s v="Student"/>
    <s v="Yes"/>
    <s v="Public Transport Delay"/>
    <s v="Helpline"/>
    <s v="Bus arrival delay reported"/>
    <n v="2"/>
    <s v="Yes"/>
    <n v="15"/>
    <s v="Delayed"/>
    <s v="Off484"/>
    <n v="11"/>
    <n v="43"/>
    <n v="31124"/>
    <n v="33117"/>
    <s v="Yes"/>
    <s v="Level 1"/>
    <d v="2026-01-31T00:00:00"/>
  </r>
  <r>
    <s v="C0484"/>
    <x v="2"/>
    <x v="2"/>
    <s v="High"/>
    <s v="Open"/>
    <n v="42"/>
    <s v="2026-06-08"/>
    <x v="4"/>
    <s v="Business Owner"/>
    <s v="Yes"/>
    <s v="Road Damage"/>
    <s v="Walk in"/>
    <s v="Road damaged due to heavy rain"/>
    <n v="5"/>
    <s v="No"/>
    <n v="3"/>
    <s v="Delayed"/>
    <s v="Off485"/>
    <n v="15"/>
    <n v="30"/>
    <n v="4009"/>
    <n v="2708"/>
    <s v="Yes"/>
    <s v="Level 3"/>
    <d v="2026-07-20T00:00:00"/>
  </r>
  <r>
    <s v="C0485"/>
    <x v="3"/>
    <x v="4"/>
    <s v="Medium"/>
    <s v="Open"/>
    <n v="42"/>
    <s v="2025-08-28"/>
    <x v="3"/>
    <s v="Student"/>
    <s v="Yes"/>
    <s v="Public Transport Delay"/>
    <s v="Email"/>
    <s v="Bus arrival delay reported"/>
    <n v="5"/>
    <s v="No"/>
    <n v="7"/>
    <s v="Delayed"/>
    <s v="Off486"/>
    <n v="1"/>
    <n v="15"/>
    <n v="39878"/>
    <n v="41598"/>
    <s v="Yes"/>
    <s v="Level 2"/>
    <d v="2025-10-09T00:00:00"/>
  </r>
  <r>
    <s v="C0486"/>
    <x v="0"/>
    <x v="5"/>
    <s v="Medium"/>
    <s v="In Progress"/>
    <n v="37"/>
    <s v="2025-01-07"/>
    <x v="1"/>
    <s v="Business Owner"/>
    <s v="Yes"/>
    <s v="Water Leakage"/>
    <s v="Mobile App"/>
    <s v="Water pipe leakage near school"/>
    <n v="5"/>
    <s v="No"/>
    <n v="7"/>
    <s v="Delayed"/>
    <s v="Off487"/>
    <n v="1"/>
    <n v="25"/>
    <n v="14199"/>
    <n v="13410"/>
    <s v="Yes"/>
    <s v="Level 2"/>
    <d v="2025-02-13T00:00:00"/>
  </r>
  <r>
    <s v="C0487"/>
    <x v="0"/>
    <x v="2"/>
    <s v="Medium"/>
    <s v="In Progress"/>
    <n v="9"/>
    <s v="2025-11-26"/>
    <x v="4"/>
    <s v="General"/>
    <s v="Yes"/>
    <s v="Water Leakage"/>
    <s v="Website"/>
    <s v="Water pipe leakage near school"/>
    <n v="1"/>
    <s v="Yes"/>
    <n v="7"/>
    <s v="Delayed"/>
    <s v="Off488"/>
    <n v="5"/>
    <n v="15"/>
    <n v="5892"/>
    <n v="5244"/>
    <s v="Yes"/>
    <s v="Level 2"/>
    <d v="2025-12-05T00:00:00"/>
  </r>
  <r>
    <s v="C0488"/>
    <x v="1"/>
    <x v="2"/>
    <s v="Low"/>
    <s v="In Progress"/>
    <n v="34"/>
    <s v="2026-03-06"/>
    <x v="4"/>
    <s v="Student"/>
    <s v="Yes"/>
    <s v="Garbage Collection"/>
    <s v="Helpline"/>
    <s v="Garbage not collected for 3 days"/>
    <n v="2"/>
    <s v="Yes"/>
    <n v="15"/>
    <s v="Delayed"/>
    <s v="Off489"/>
    <n v="12"/>
    <n v="22"/>
    <n v="46478"/>
    <n v="46548"/>
    <s v="Yes"/>
    <s v="Level 1"/>
    <d v="2026-04-09T00:00:00"/>
  </r>
  <r>
    <s v="C0489"/>
    <x v="0"/>
    <x v="2"/>
    <s v="Low"/>
    <s v="In Progress"/>
    <n v="23"/>
    <s v="2025-03-14"/>
    <x v="4"/>
    <s v="Farmer"/>
    <s v="Yes"/>
    <s v="Water Leakage"/>
    <s v="Walk in"/>
    <s v="Water pipe leakage near school"/>
    <n v="2"/>
    <s v="Yes"/>
    <n v="15"/>
    <s v="Delayed"/>
    <s v="Off490"/>
    <n v="7"/>
    <n v="37"/>
    <n v="23897"/>
    <n v="25543"/>
    <s v="Yes"/>
    <s v="Level 1"/>
    <d v="2025-04-06T00:00:00"/>
  </r>
  <r>
    <s v="C0490"/>
    <x v="0"/>
    <x v="3"/>
    <s v="High"/>
    <s v="Open"/>
    <n v="22"/>
    <s v="2025-05-18"/>
    <x v="5"/>
    <s v="Senior Citizen"/>
    <s v="Yes"/>
    <s v="Water Leakage"/>
    <s v="Email"/>
    <s v="Water pipe leakage near school"/>
    <n v="1"/>
    <s v="Yes"/>
    <n v="3"/>
    <s v="Delayed"/>
    <s v="Off491"/>
    <n v="1"/>
    <n v="20"/>
    <n v="20530"/>
    <n v="20702"/>
    <s v="Yes"/>
    <s v="Level 3"/>
    <d v="2025-06-09T00:00:00"/>
  </r>
  <r>
    <s v="C0491"/>
    <x v="4"/>
    <x v="5"/>
    <s v="Medium"/>
    <s v="Resolved"/>
    <n v="29"/>
    <s v="2026-04-09"/>
    <x v="5"/>
    <s v="General"/>
    <s v="Yes"/>
    <s v="General Complaint"/>
    <s v="Mobile App"/>
    <s v="General complaint reported"/>
    <n v="3"/>
    <s v="No"/>
    <n v="7"/>
    <s v="Delayed"/>
    <s v="Off492"/>
    <n v="3"/>
    <n v="25"/>
    <n v="43983"/>
    <n v="42684"/>
    <s v="Yes"/>
    <s v="Level 2"/>
    <d v="2026-05-08T00:00:00"/>
  </r>
  <r>
    <s v="C0492"/>
    <x v="0"/>
    <x v="7"/>
    <s v="High"/>
    <s v="Open"/>
    <n v="31"/>
    <s v="2025-06-06"/>
    <x v="2"/>
    <s v="Senior Citizen"/>
    <s v="Yes"/>
    <s v="Water Leakage"/>
    <s v="Website"/>
    <s v="Water pipe leakage near school"/>
    <n v="2"/>
    <s v="Yes"/>
    <n v="3"/>
    <s v="Delayed"/>
    <s v="Off493"/>
    <n v="7"/>
    <n v="29"/>
    <n v="24847"/>
    <n v="23787"/>
    <s v="Yes"/>
    <s v="Level 3"/>
    <d v="2025-07-07T00:00:00"/>
  </r>
  <r>
    <s v="C0493"/>
    <x v="1"/>
    <x v="7"/>
    <s v="Medium"/>
    <s v="Open"/>
    <n v="21"/>
    <s v="2025-11-22"/>
    <x v="1"/>
    <s v="Student"/>
    <s v="Yes"/>
    <s v="Garbage Collection"/>
    <s v="Helpline"/>
    <s v="Garbage not collected for 3 days"/>
    <n v="4"/>
    <s v="No"/>
    <n v="7"/>
    <s v="Delayed"/>
    <s v="Off494"/>
    <n v="1"/>
    <n v="18"/>
    <n v="11983"/>
    <n v="11937"/>
    <s v="Yes"/>
    <s v="Level 2"/>
    <d v="2025-12-13T00:00:00"/>
  </r>
  <r>
    <s v="C0494"/>
    <x v="2"/>
    <x v="9"/>
    <s v="Low"/>
    <s v="In Progress"/>
    <n v="24"/>
    <s v="2025-04-21"/>
    <x v="4"/>
    <s v="Senior Citizen"/>
    <s v="Yes"/>
    <s v="Road Damage"/>
    <s v="Walk in"/>
    <s v="Road damaged due to heavy rain"/>
    <n v="3"/>
    <s v="No"/>
    <n v="15"/>
    <s v="Delayed"/>
    <s v="Off495"/>
    <n v="14"/>
    <n v="38"/>
    <n v="20046"/>
    <n v="21897"/>
    <s v="Yes"/>
    <s v="Level 1"/>
    <d v="2025-05-15T00:00:00"/>
  </r>
  <r>
    <s v="C0495"/>
    <x v="5"/>
    <x v="1"/>
    <s v="High"/>
    <s v="Closed"/>
    <n v="5"/>
    <s v="2025-12-28"/>
    <x v="3"/>
    <s v="Student"/>
    <s v="No"/>
    <s v="General Complaint"/>
    <s v="Email"/>
    <s v="General complaint reported"/>
    <n v="3"/>
    <s v="No"/>
    <n v="3"/>
    <s v="Delayed"/>
    <s v="Off496"/>
    <n v="13"/>
    <n v="36"/>
    <n v="48537"/>
    <n v="50089"/>
    <s v="Yes"/>
    <s v="Level 3"/>
    <d v="2026-01-02T00:00:00"/>
  </r>
  <r>
    <s v="C0496"/>
    <x v="2"/>
    <x v="6"/>
    <s v="Medium"/>
    <s v="In Progress"/>
    <n v="11"/>
    <s v="2026-06-19"/>
    <x v="4"/>
    <s v="Senior Citizen"/>
    <s v="Yes"/>
    <s v="Road Damage"/>
    <s v="Mobile App"/>
    <s v="Road damaged due to heavy rain"/>
    <n v="5"/>
    <s v="No"/>
    <n v="7"/>
    <s v="Delayed"/>
    <s v="Off497"/>
    <n v="5"/>
    <n v="34"/>
    <n v="19677"/>
    <n v="18494"/>
    <s v="Yes"/>
    <s v="Level 2"/>
    <d v="2026-06-30T00:00:00"/>
  </r>
  <r>
    <s v="C0497"/>
    <x v="4"/>
    <x v="7"/>
    <s v="Medium"/>
    <s v="Open"/>
    <n v="13"/>
    <s v="2026-05-17"/>
    <x v="4"/>
    <s v="Business Owner"/>
    <s v="Yes"/>
    <s v="General Complaint"/>
    <s v="Website"/>
    <s v="General complaint reported"/>
    <n v="1"/>
    <s v="Yes"/>
    <n v="7"/>
    <s v="Delayed"/>
    <s v="Off498"/>
    <n v="4"/>
    <n v="44"/>
    <n v="26362"/>
    <n v="25179"/>
    <s v="Yes"/>
    <s v="Level 2"/>
    <d v="2026-05-30T00:00:00"/>
  </r>
  <r>
    <s v="C0498"/>
    <x v="5"/>
    <x v="7"/>
    <s v="High"/>
    <s v="Closed"/>
    <n v="1"/>
    <s v="2026-01-22"/>
    <x v="5"/>
    <s v="Business Owner"/>
    <s v="No"/>
    <s v="General Complaint"/>
    <s v="Helpline"/>
    <s v="General complaint reported"/>
    <n v="3"/>
    <s v="No"/>
    <n v="3"/>
    <s v="Within SLA"/>
    <s v="Off499"/>
    <n v="7"/>
    <n v="40"/>
    <n v="34725"/>
    <n v="36259"/>
    <s v="No"/>
    <s v="None"/>
    <d v="2026-01-23T00:00:00"/>
  </r>
  <r>
    <s v="C0499"/>
    <x v="1"/>
    <x v="2"/>
    <s v="Medium"/>
    <s v="In Progress"/>
    <n v="32"/>
    <s v="2025-08-29"/>
    <x v="0"/>
    <s v="Senior Citizen"/>
    <s v="Yes"/>
    <s v="Garbage Collection"/>
    <s v="Walk in"/>
    <s v="Garbage not collected for 3 days"/>
    <n v="4"/>
    <s v="No"/>
    <n v="7"/>
    <s v="Delayed"/>
    <s v="Off500"/>
    <n v="3"/>
    <n v="14"/>
    <n v="37400"/>
    <n v="37937"/>
    <s v="Yes"/>
    <s v="Level 2"/>
    <d v="2025-09-30T00:00:00"/>
  </r>
  <r>
    <s v="C0500"/>
    <x v="5"/>
    <x v="7"/>
    <s v="Medium"/>
    <s v="In Progress"/>
    <n v="37"/>
    <s v="2025-05-24"/>
    <x v="4"/>
    <s v="Senior Citizen"/>
    <s v="Yes"/>
    <s v="General Complaint"/>
    <s v="Email"/>
    <s v="General complaint reported"/>
    <n v="4"/>
    <s v="No"/>
    <n v="7"/>
    <s v="Delayed"/>
    <s v="Off501"/>
    <n v="14"/>
    <n v="32"/>
    <n v="45758"/>
    <n v="45590"/>
    <s v="Yes"/>
    <s v="Level 2"/>
    <d v="2025-06-3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6ECB95-9C82-4EEF-95F8-C230C58078B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21" firstHeaderRow="1" firstDataRow="1" firstDataCol="1"/>
  <pivotFields count="25">
    <pivotField dataField="1" showAll="0"/>
    <pivotField showAll="0"/>
    <pivotField axis="axisRow" showAll="0">
      <items count="11">
        <item x="7"/>
        <item x="3"/>
        <item x="5"/>
        <item x="9"/>
        <item x="2"/>
        <item x="0"/>
        <item x="6"/>
        <item x="4"/>
        <item x="8"/>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1">
    <field x="2"/>
  </rowFields>
  <rowItems count="11">
    <i>
      <x/>
    </i>
    <i>
      <x v="1"/>
    </i>
    <i>
      <x v="2"/>
    </i>
    <i>
      <x v="3"/>
    </i>
    <i>
      <x v="4"/>
    </i>
    <i>
      <x v="5"/>
    </i>
    <i>
      <x v="6"/>
    </i>
    <i>
      <x v="7"/>
    </i>
    <i>
      <x v="8"/>
    </i>
    <i>
      <x v="9"/>
    </i>
    <i t="grand">
      <x/>
    </i>
  </rowItems>
  <colItems count="1">
    <i/>
  </colItems>
  <dataFields count="1">
    <dataField name="Count of Complai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49F488-10B4-4548-AC59-07205B82FE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8" firstHeaderRow="1" firstDataRow="1" firstDataCol="1"/>
  <pivotFields count="25">
    <pivotField dataField="1" showAll="0"/>
    <pivotField axis="axisRow" showAll="0">
      <items count="7">
        <item x="1"/>
        <item x="3"/>
        <item x="5"/>
        <item x="2"/>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1">
    <field x="1"/>
  </rowFields>
  <rowItems count="7">
    <i>
      <x/>
    </i>
    <i>
      <x v="1"/>
    </i>
    <i>
      <x v="2"/>
    </i>
    <i>
      <x v="3"/>
    </i>
    <i>
      <x v="4"/>
    </i>
    <i>
      <x v="5"/>
    </i>
    <i t="grand">
      <x/>
    </i>
  </rowItems>
  <colItems count="1">
    <i/>
  </colItems>
  <dataFields count="1">
    <dataField name="Count of Complai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83C1CC-4889-40E5-9FEA-17FB81AE4D2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F9" firstHeaderRow="0" firstDataRow="1" firstDataCol="1"/>
  <pivotFields count="25">
    <pivotField dataField="1" showAll="0"/>
    <pivotField showAll="0"/>
    <pivotField showAll="0"/>
    <pivotField showAll="0"/>
    <pivotField showAll="0"/>
    <pivotField dataField="1" showAll="0"/>
    <pivotField showAll="0"/>
    <pivotField axis="axisRow" showAll="0">
      <items count="7">
        <item x="0"/>
        <item x="3"/>
        <item x="1"/>
        <item x="5"/>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1">
    <field x="7"/>
  </rowFields>
  <rowItems count="7">
    <i>
      <x/>
    </i>
    <i>
      <x v="1"/>
    </i>
    <i>
      <x v="2"/>
    </i>
    <i>
      <x v="3"/>
    </i>
    <i>
      <x v="4"/>
    </i>
    <i>
      <x v="5"/>
    </i>
    <i t="grand">
      <x/>
    </i>
  </rowItems>
  <colFields count="1">
    <field x="-2"/>
  </colFields>
  <colItems count="2">
    <i>
      <x/>
    </i>
    <i i="1">
      <x v="1"/>
    </i>
  </colItems>
  <dataFields count="2">
    <dataField name="Average of Resolution_Days" fld="5" subtotal="average" baseField="7" baseItem="4"/>
    <dataField name="Count of Complai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01"/>
  <sheetViews>
    <sheetView tabSelected="1" zoomScaleNormal="100" workbookViewId="0">
      <selection activeCell="AA14" sqref="AA14"/>
    </sheetView>
  </sheetViews>
  <sheetFormatPr defaultRowHeight="15" x14ac:dyDescent="0.25"/>
  <cols>
    <col min="1" max="1" width="13.140625" bestFit="1" customWidth="1"/>
    <col min="2" max="2" width="17.7109375" bestFit="1" customWidth="1"/>
    <col min="3" max="3" width="11.42578125" bestFit="1" customWidth="1"/>
    <col min="4" max="4" width="9.42578125" customWidth="1"/>
    <col min="5" max="5" width="11.85546875" customWidth="1"/>
    <col min="6" max="6" width="15.85546875" style="1" bestFit="1" customWidth="1"/>
    <col min="7" max="7" width="15.42578125" bestFit="1" customWidth="1"/>
    <col min="8" max="8" width="13.5703125" bestFit="1" customWidth="1"/>
    <col min="9" max="9" width="16.140625" bestFit="1" customWidth="1"/>
    <col min="10" max="10" width="11.140625" bestFit="1" customWidth="1"/>
    <col min="11" max="11" width="21" bestFit="1" customWidth="1"/>
    <col min="12" max="12" width="18.5703125" bestFit="1" customWidth="1"/>
    <col min="13" max="13" width="30.42578125" bestFit="1" customWidth="1"/>
    <col min="14" max="14" width="13.28515625" bestFit="1" customWidth="1"/>
    <col min="15" max="15" width="13.7109375" bestFit="1" customWidth="1"/>
    <col min="16" max="16" width="14.85546875" bestFit="1" customWidth="1"/>
    <col min="17" max="17" width="16.5703125" bestFit="1" customWidth="1"/>
    <col min="19" max="19" width="17.140625" customWidth="1"/>
    <col min="20" max="20" width="16.28515625" bestFit="1" customWidth="1"/>
    <col min="21" max="21" width="14.28515625" bestFit="1" customWidth="1"/>
    <col min="22" max="22" width="10.85546875" bestFit="1" customWidth="1"/>
    <col min="24" max="24" width="15.140625" bestFit="1" customWidth="1"/>
    <col min="25" max="25" width="15.28515625" bestFit="1" customWidth="1"/>
    <col min="27" max="27" width="23.28515625" bestFit="1" customWidth="1"/>
    <col min="28" max="28" width="9.140625" bestFit="1" customWidth="1"/>
  </cols>
  <sheetData>
    <row r="1" spans="1:28" x14ac:dyDescent="0.25">
      <c r="A1" t="s">
        <v>0</v>
      </c>
      <c r="B1" t="s">
        <v>1</v>
      </c>
      <c r="C1" t="s">
        <v>2</v>
      </c>
      <c r="D1" t="s">
        <v>3</v>
      </c>
      <c r="E1" t="s">
        <v>4</v>
      </c>
      <c r="F1" s="1" t="s">
        <v>5</v>
      </c>
      <c r="G1" t="s">
        <v>6</v>
      </c>
      <c r="H1" t="s">
        <v>7</v>
      </c>
      <c r="I1" t="s">
        <v>8</v>
      </c>
      <c r="J1" t="s">
        <v>9</v>
      </c>
      <c r="K1" t="s">
        <v>879</v>
      </c>
      <c r="L1" t="s">
        <v>880</v>
      </c>
      <c r="M1" t="s">
        <v>886</v>
      </c>
      <c r="N1" t="s">
        <v>887</v>
      </c>
      <c r="O1" t="s">
        <v>888</v>
      </c>
      <c r="P1" t="s">
        <v>889</v>
      </c>
      <c r="Q1" t="s">
        <v>890</v>
      </c>
      <c r="R1" t="s">
        <v>891</v>
      </c>
      <c r="S1" t="s">
        <v>892</v>
      </c>
      <c r="T1" t="s">
        <v>893</v>
      </c>
      <c r="U1" t="s">
        <v>894</v>
      </c>
      <c r="V1" t="s">
        <v>895</v>
      </c>
      <c r="W1" t="s">
        <v>896</v>
      </c>
      <c r="X1" t="s">
        <v>897</v>
      </c>
      <c r="Y1" t="s">
        <v>898</v>
      </c>
      <c r="AA1" t="s">
        <v>900</v>
      </c>
    </row>
    <row r="2" spans="1:28" x14ac:dyDescent="0.25">
      <c r="A2" t="s">
        <v>10</v>
      </c>
      <c r="B2" t="s">
        <v>11</v>
      </c>
      <c r="C2" t="s">
        <v>12</v>
      </c>
      <c r="D2" t="s">
        <v>13</v>
      </c>
      <c r="E2" t="s">
        <v>14</v>
      </c>
      <c r="F2" s="1">
        <v>36</v>
      </c>
      <c r="G2" t="s">
        <v>15</v>
      </c>
      <c r="H2" t="s">
        <v>16</v>
      </c>
      <c r="I2" t="s">
        <v>17</v>
      </c>
      <c r="J2" t="s">
        <v>18</v>
      </c>
      <c r="K2" t="str">
        <f>IF(B2="Water Supply","Water Leakage",
IF(B2="Roads","Road Damage",
IF(B2="Municipal Services","Garbage Collection",
IF(B2="Electricity","Street Light Failure",
IF(B2="Public Transport","Public Transport Delay","General Complaint")))))</f>
        <v>Water Leakage</v>
      </c>
      <c r="L2" t="s">
        <v>881</v>
      </c>
      <c r="M2" t="str">
        <f>IF(K2="Water Leakage","Water pipe leakage near school",
IF(K2="Road Damage","Road damaged due to heavy rain",
IF(K2="Garbage Collection","Garbage not collected for 3 days",
IF(K2="Street Light Failure","Street light not working in residential area",
IF(K2="Public Transport Delay","Bus arrival delay reported",
"General complaint reported")))))</f>
        <v>Water pipe leakage near school</v>
      </c>
      <c r="N2">
        <v>1</v>
      </c>
      <c r="O2" t="s">
        <v>18</v>
      </c>
      <c r="P2">
        <f>IF(D2="High",3,
IF(D2="Medium",7,15))</f>
        <v>15</v>
      </c>
      <c r="Q2" t="str">
        <f>IF(F2&lt;=P2,"Within SLA","Delayed")</f>
        <v>Delayed</v>
      </c>
      <c r="R2" t="str">
        <f>"Off"&amp;TEXT(ROW(A2),"000")</f>
        <v>Off002</v>
      </c>
      <c r="S2">
        <v>13</v>
      </c>
      <c r="T2">
        <v>31</v>
      </c>
      <c r="U2">
        <v>15385</v>
      </c>
      <c r="V2">
        <v>15624</v>
      </c>
      <c r="W2" t="str">
        <f>IF(F2&gt;P2,"Yes","No")</f>
        <v>Yes</v>
      </c>
      <c r="X2" t="str">
        <f>IF(W2="No","None",
IF(D2="High","Level 3",
IF(D2="Medium","Level 2","Level 1")))</f>
        <v>Level 1</v>
      </c>
      <c r="Y2" s="2">
        <f>G2+F2</f>
        <v>45820</v>
      </c>
      <c r="AA2" t="s">
        <v>899</v>
      </c>
      <c r="AB2">
        <f>COUNTA(A:A)-1</f>
        <v>500</v>
      </c>
    </row>
    <row r="3" spans="1:28" x14ac:dyDescent="0.25">
      <c r="A3" t="s">
        <v>19</v>
      </c>
      <c r="B3" t="s">
        <v>20</v>
      </c>
      <c r="C3" t="s">
        <v>21</v>
      </c>
      <c r="D3" t="s">
        <v>22</v>
      </c>
      <c r="E3" t="s">
        <v>23</v>
      </c>
      <c r="F3" s="1">
        <v>9</v>
      </c>
      <c r="G3" t="s">
        <v>24</v>
      </c>
      <c r="H3" t="s">
        <v>25</v>
      </c>
      <c r="I3" t="s">
        <v>26</v>
      </c>
      <c r="J3" t="s">
        <v>18</v>
      </c>
      <c r="K3" t="str">
        <f t="shared" ref="K3:K66" si="0">IF(B3="Water Supply","Water Leakage",
IF(B3="Roads","Road Damage",
IF(B3="Municipal Services","Garbage Collection",
IF(B3="Electricity","Street Light Failure",
IF(B3="Public Transport","Public Transport Delay","General Complaint")))))</f>
        <v>Garbage Collection</v>
      </c>
      <c r="L3" t="s">
        <v>882</v>
      </c>
      <c r="M3" t="str">
        <f t="shared" ref="M3:M66" si="1">IF(K3="Water Leakage","Water pipe leakage near school",
IF(K3="Road Damage","Road damaged due to heavy rain",
IF(K3="Garbage Collection","Garbage not collected for 3 days",
IF(K3="Street Light Failure","Street light not working in residential area",
IF(K3="Public Transport Delay","Bus arrival delay reported",
"General complaint reported")))))</f>
        <v>Garbage not collected for 3 days</v>
      </c>
      <c r="N3">
        <v>3</v>
      </c>
      <c r="O3" t="s">
        <v>37</v>
      </c>
      <c r="P3">
        <f t="shared" ref="P3:P66" si="2">IF(D3="High",3,
IF(D3="Medium",7,15))</f>
        <v>7</v>
      </c>
      <c r="Q3" t="str">
        <f t="shared" ref="Q3:Q66" si="3">IF(F3&lt;=P3,"Within SLA","Delayed")</f>
        <v>Delayed</v>
      </c>
      <c r="R3" t="str">
        <f t="shared" ref="R3:R66" si="4">"Off"&amp;TEXT(ROW(A3),"000")</f>
        <v>Off003</v>
      </c>
      <c r="S3">
        <v>1</v>
      </c>
      <c r="T3">
        <v>14</v>
      </c>
      <c r="U3">
        <v>24829</v>
      </c>
      <c r="V3">
        <v>25878</v>
      </c>
      <c r="W3" t="str">
        <f t="shared" ref="W3:W66" si="5">IF(F3&gt;P3,"Yes","No")</f>
        <v>Yes</v>
      </c>
      <c r="X3" t="str">
        <f t="shared" ref="X3:X66" si="6">IF(W3="No","None",
IF(D3="High","Level 3",
IF(D3="Medium","Level 2","Level 1")))</f>
        <v>Level 2</v>
      </c>
      <c r="Y3" s="2">
        <f t="shared" ref="Y3:Y66" si="7">G3+F3</f>
        <v>45880</v>
      </c>
      <c r="AA3" t="s">
        <v>901</v>
      </c>
      <c r="AB3">
        <f>COUNTIF(E2:E501,"Closed")</f>
        <v>133</v>
      </c>
    </row>
    <row r="4" spans="1:28" x14ac:dyDescent="0.25">
      <c r="A4" t="s">
        <v>27</v>
      </c>
      <c r="B4" t="s">
        <v>28</v>
      </c>
      <c r="C4" t="s">
        <v>29</v>
      </c>
      <c r="D4" t="s">
        <v>22</v>
      </c>
      <c r="E4" t="s">
        <v>30</v>
      </c>
      <c r="F4" s="1">
        <v>40</v>
      </c>
      <c r="G4" t="s">
        <v>31</v>
      </c>
      <c r="H4" t="s">
        <v>25</v>
      </c>
      <c r="I4" t="s">
        <v>17</v>
      </c>
      <c r="J4" t="s">
        <v>18</v>
      </c>
      <c r="K4" t="str">
        <f t="shared" si="0"/>
        <v>Road Damage</v>
      </c>
      <c r="L4" t="s">
        <v>883</v>
      </c>
      <c r="M4" t="str">
        <f t="shared" si="1"/>
        <v>Road damaged due to heavy rain</v>
      </c>
      <c r="N4">
        <v>5</v>
      </c>
      <c r="O4" t="s">
        <v>37</v>
      </c>
      <c r="P4">
        <f t="shared" si="2"/>
        <v>7</v>
      </c>
      <c r="Q4" t="str">
        <f t="shared" si="3"/>
        <v>Delayed</v>
      </c>
      <c r="R4" t="str">
        <f t="shared" si="4"/>
        <v>Off004</v>
      </c>
      <c r="S4">
        <v>8</v>
      </c>
      <c r="T4">
        <v>5</v>
      </c>
      <c r="U4">
        <v>18542</v>
      </c>
      <c r="V4">
        <v>17397</v>
      </c>
      <c r="W4" t="str">
        <f t="shared" si="5"/>
        <v>Yes</v>
      </c>
      <c r="X4" t="str">
        <f t="shared" si="6"/>
        <v>Level 2</v>
      </c>
      <c r="Y4" s="2">
        <f t="shared" si="7"/>
        <v>45773</v>
      </c>
      <c r="AA4" t="s">
        <v>902</v>
      </c>
      <c r="AB4">
        <f>COUNTIF(E2:E501,"Open")</f>
        <v>116</v>
      </c>
    </row>
    <row r="5" spans="1:28" x14ac:dyDescent="0.25">
      <c r="A5" t="s">
        <v>32</v>
      </c>
      <c r="B5" t="s">
        <v>11</v>
      </c>
      <c r="C5" t="s">
        <v>33</v>
      </c>
      <c r="D5" t="s">
        <v>34</v>
      </c>
      <c r="E5" t="s">
        <v>14</v>
      </c>
      <c r="F5" s="1">
        <v>7</v>
      </c>
      <c r="G5" t="s">
        <v>35</v>
      </c>
      <c r="H5" t="s">
        <v>25</v>
      </c>
      <c r="I5" t="s">
        <v>36</v>
      </c>
      <c r="J5" t="s">
        <v>37</v>
      </c>
      <c r="K5" t="str">
        <f t="shared" si="0"/>
        <v>Water Leakage</v>
      </c>
      <c r="L5" t="s">
        <v>884</v>
      </c>
      <c r="M5" t="str">
        <f t="shared" si="1"/>
        <v>Water pipe leakage near school</v>
      </c>
      <c r="N5">
        <v>1</v>
      </c>
      <c r="O5" t="s">
        <v>18</v>
      </c>
      <c r="P5">
        <f t="shared" si="2"/>
        <v>3</v>
      </c>
      <c r="Q5" t="str">
        <f t="shared" si="3"/>
        <v>Delayed</v>
      </c>
      <c r="R5" t="str">
        <f t="shared" si="4"/>
        <v>Off005</v>
      </c>
      <c r="S5">
        <v>15</v>
      </c>
      <c r="T5">
        <v>37</v>
      </c>
      <c r="U5">
        <v>5355</v>
      </c>
      <c r="V5">
        <v>3443</v>
      </c>
      <c r="W5" t="str">
        <f t="shared" si="5"/>
        <v>Yes</v>
      </c>
      <c r="X5" t="str">
        <f t="shared" si="6"/>
        <v>Level 3</v>
      </c>
      <c r="Y5" s="2">
        <f t="shared" si="7"/>
        <v>45951</v>
      </c>
      <c r="AA5" t="s">
        <v>903</v>
      </c>
      <c r="AB5">
        <f>COUNTIF(J2:J501,"Yes")</f>
        <v>392</v>
      </c>
    </row>
    <row r="6" spans="1:28" x14ac:dyDescent="0.25">
      <c r="A6" t="s">
        <v>38</v>
      </c>
      <c r="B6" t="s">
        <v>28</v>
      </c>
      <c r="C6" t="s">
        <v>39</v>
      </c>
      <c r="D6" t="s">
        <v>22</v>
      </c>
      <c r="E6" t="s">
        <v>23</v>
      </c>
      <c r="F6" s="1">
        <v>1</v>
      </c>
      <c r="G6" t="s">
        <v>15</v>
      </c>
      <c r="H6" t="s">
        <v>40</v>
      </c>
      <c r="I6" t="s">
        <v>17</v>
      </c>
      <c r="J6" t="s">
        <v>37</v>
      </c>
      <c r="K6" t="str">
        <f t="shared" si="0"/>
        <v>Road Damage</v>
      </c>
      <c r="L6" t="s">
        <v>885</v>
      </c>
      <c r="M6" t="str">
        <f t="shared" si="1"/>
        <v>Road damaged due to heavy rain</v>
      </c>
      <c r="N6">
        <v>2</v>
      </c>
      <c r="O6" t="s">
        <v>18</v>
      </c>
      <c r="P6">
        <f t="shared" si="2"/>
        <v>7</v>
      </c>
      <c r="Q6" t="str">
        <f t="shared" si="3"/>
        <v>Within SLA</v>
      </c>
      <c r="R6" t="str">
        <f t="shared" si="4"/>
        <v>Off006</v>
      </c>
      <c r="S6">
        <v>10</v>
      </c>
      <c r="T6">
        <v>49</v>
      </c>
      <c r="U6">
        <v>37276</v>
      </c>
      <c r="V6">
        <v>39136</v>
      </c>
      <c r="W6" t="str">
        <f t="shared" si="5"/>
        <v>No</v>
      </c>
      <c r="X6" t="str">
        <f t="shared" si="6"/>
        <v>None</v>
      </c>
      <c r="Y6" s="2">
        <f t="shared" si="7"/>
        <v>45785</v>
      </c>
      <c r="AA6" t="s">
        <v>904</v>
      </c>
      <c r="AB6" s="3">
        <f>AVERAGE(F2:F501)</f>
        <v>19.286000000000001</v>
      </c>
    </row>
    <row r="7" spans="1:28" x14ac:dyDescent="0.25">
      <c r="A7" t="s">
        <v>41</v>
      </c>
      <c r="B7" t="s">
        <v>28</v>
      </c>
      <c r="C7" t="s">
        <v>33</v>
      </c>
      <c r="D7" t="s">
        <v>22</v>
      </c>
      <c r="E7" t="s">
        <v>42</v>
      </c>
      <c r="F7" s="1">
        <v>29</v>
      </c>
      <c r="G7" t="s">
        <v>43</v>
      </c>
      <c r="H7" t="s">
        <v>25</v>
      </c>
      <c r="I7" t="s">
        <v>44</v>
      </c>
      <c r="J7" t="s">
        <v>18</v>
      </c>
      <c r="K7" t="str">
        <f t="shared" si="0"/>
        <v>Road Damage</v>
      </c>
      <c r="L7" t="s">
        <v>881</v>
      </c>
      <c r="M7" t="str">
        <f t="shared" si="1"/>
        <v>Road damaged due to heavy rain</v>
      </c>
      <c r="N7">
        <v>5</v>
      </c>
      <c r="O7" t="s">
        <v>37</v>
      </c>
      <c r="P7">
        <f t="shared" si="2"/>
        <v>7</v>
      </c>
      <c r="Q7" t="str">
        <f t="shared" si="3"/>
        <v>Delayed</v>
      </c>
      <c r="R7" t="str">
        <f t="shared" si="4"/>
        <v>Off007</v>
      </c>
      <c r="S7">
        <v>1</v>
      </c>
      <c r="T7">
        <v>18</v>
      </c>
      <c r="U7">
        <v>31054</v>
      </c>
      <c r="V7">
        <v>32637</v>
      </c>
      <c r="W7" t="str">
        <f t="shared" si="5"/>
        <v>Yes</v>
      </c>
      <c r="X7" t="str">
        <f t="shared" si="6"/>
        <v>Level 2</v>
      </c>
      <c r="Y7" s="2">
        <f t="shared" si="7"/>
        <v>46133</v>
      </c>
    </row>
    <row r="8" spans="1:28" x14ac:dyDescent="0.25">
      <c r="A8" t="s">
        <v>45</v>
      </c>
      <c r="B8" t="s">
        <v>20</v>
      </c>
      <c r="C8" t="s">
        <v>29</v>
      </c>
      <c r="D8" t="s">
        <v>13</v>
      </c>
      <c r="E8" t="s">
        <v>42</v>
      </c>
      <c r="F8" s="1">
        <v>1</v>
      </c>
      <c r="G8" t="s">
        <v>46</v>
      </c>
      <c r="H8" t="s">
        <v>47</v>
      </c>
      <c r="I8" t="s">
        <v>26</v>
      </c>
      <c r="J8" t="s">
        <v>37</v>
      </c>
      <c r="K8" t="str">
        <f t="shared" si="0"/>
        <v>Garbage Collection</v>
      </c>
      <c r="L8" t="s">
        <v>882</v>
      </c>
      <c r="M8" t="str">
        <f t="shared" si="1"/>
        <v>Garbage not collected for 3 days</v>
      </c>
      <c r="N8">
        <v>1</v>
      </c>
      <c r="O8" t="s">
        <v>18</v>
      </c>
      <c r="P8">
        <f t="shared" si="2"/>
        <v>15</v>
      </c>
      <c r="Q8" t="str">
        <f t="shared" si="3"/>
        <v>Within SLA</v>
      </c>
      <c r="R8" t="str">
        <f t="shared" si="4"/>
        <v>Off008</v>
      </c>
      <c r="S8">
        <v>4</v>
      </c>
      <c r="T8">
        <v>16</v>
      </c>
      <c r="U8">
        <v>16192</v>
      </c>
      <c r="V8">
        <v>14940</v>
      </c>
      <c r="W8" t="str">
        <f t="shared" si="5"/>
        <v>No</v>
      </c>
      <c r="X8" t="str">
        <f t="shared" si="6"/>
        <v>None</v>
      </c>
      <c r="Y8" s="2">
        <f t="shared" si="7"/>
        <v>45659</v>
      </c>
    </row>
    <row r="9" spans="1:28" x14ac:dyDescent="0.25">
      <c r="A9" t="s">
        <v>48</v>
      </c>
      <c r="B9" t="s">
        <v>20</v>
      </c>
      <c r="C9" t="s">
        <v>49</v>
      </c>
      <c r="D9" t="s">
        <v>22</v>
      </c>
      <c r="E9" t="s">
        <v>42</v>
      </c>
      <c r="F9" s="1">
        <v>22</v>
      </c>
      <c r="G9" t="s">
        <v>50</v>
      </c>
      <c r="H9" t="s">
        <v>51</v>
      </c>
      <c r="I9" t="s">
        <v>36</v>
      </c>
      <c r="J9" t="s">
        <v>18</v>
      </c>
      <c r="K9" t="str">
        <f t="shared" si="0"/>
        <v>Garbage Collection</v>
      </c>
      <c r="L9" t="s">
        <v>883</v>
      </c>
      <c r="M9" t="str">
        <f t="shared" si="1"/>
        <v>Garbage not collected for 3 days</v>
      </c>
      <c r="N9">
        <v>3</v>
      </c>
      <c r="O9" t="s">
        <v>37</v>
      </c>
      <c r="P9">
        <f t="shared" si="2"/>
        <v>7</v>
      </c>
      <c r="Q9" t="str">
        <f t="shared" si="3"/>
        <v>Delayed</v>
      </c>
      <c r="R9" t="str">
        <f t="shared" si="4"/>
        <v>Off009</v>
      </c>
      <c r="S9">
        <v>10</v>
      </c>
      <c r="T9">
        <v>14</v>
      </c>
      <c r="U9">
        <v>27341</v>
      </c>
      <c r="V9">
        <v>28492</v>
      </c>
      <c r="W9" t="str">
        <f t="shared" si="5"/>
        <v>Yes</v>
      </c>
      <c r="X9" t="str">
        <f t="shared" si="6"/>
        <v>Level 2</v>
      </c>
      <c r="Y9" s="2">
        <f t="shared" si="7"/>
        <v>45979</v>
      </c>
    </row>
    <row r="10" spans="1:28" x14ac:dyDescent="0.25">
      <c r="A10" t="s">
        <v>52</v>
      </c>
      <c r="B10" t="s">
        <v>53</v>
      </c>
      <c r="C10" t="s">
        <v>12</v>
      </c>
      <c r="D10" t="s">
        <v>13</v>
      </c>
      <c r="E10" t="s">
        <v>42</v>
      </c>
      <c r="F10" s="1">
        <v>14</v>
      </c>
      <c r="G10" t="s">
        <v>54</v>
      </c>
      <c r="H10" t="s">
        <v>25</v>
      </c>
      <c r="I10" t="s">
        <v>26</v>
      </c>
      <c r="J10" t="s">
        <v>18</v>
      </c>
      <c r="K10" t="str">
        <f t="shared" si="0"/>
        <v>Public Transport Delay</v>
      </c>
      <c r="L10" t="s">
        <v>884</v>
      </c>
      <c r="M10" t="str">
        <f t="shared" si="1"/>
        <v>Bus arrival delay reported</v>
      </c>
      <c r="N10">
        <v>4</v>
      </c>
      <c r="O10" t="s">
        <v>37</v>
      </c>
      <c r="P10">
        <f t="shared" si="2"/>
        <v>15</v>
      </c>
      <c r="Q10" t="str">
        <f t="shared" si="3"/>
        <v>Within SLA</v>
      </c>
      <c r="R10" t="str">
        <f t="shared" si="4"/>
        <v>Off010</v>
      </c>
      <c r="S10">
        <v>8</v>
      </c>
      <c r="T10">
        <v>28</v>
      </c>
      <c r="U10">
        <v>49438</v>
      </c>
      <c r="V10">
        <v>51327</v>
      </c>
      <c r="W10" t="str">
        <f t="shared" si="5"/>
        <v>No</v>
      </c>
      <c r="X10" t="str">
        <f t="shared" si="6"/>
        <v>None</v>
      </c>
      <c r="Y10" s="2">
        <f t="shared" si="7"/>
        <v>46078</v>
      </c>
    </row>
    <row r="11" spans="1:28" x14ac:dyDescent="0.25">
      <c r="A11" t="s">
        <v>55</v>
      </c>
      <c r="B11" t="s">
        <v>20</v>
      </c>
      <c r="C11" t="s">
        <v>56</v>
      </c>
      <c r="D11" t="s">
        <v>22</v>
      </c>
      <c r="E11" t="s">
        <v>42</v>
      </c>
      <c r="F11" s="1">
        <v>6</v>
      </c>
      <c r="G11" t="s">
        <v>57</v>
      </c>
      <c r="H11" t="s">
        <v>58</v>
      </c>
      <c r="I11" t="s">
        <v>26</v>
      </c>
      <c r="J11" t="s">
        <v>37</v>
      </c>
      <c r="K11" t="str">
        <f t="shared" si="0"/>
        <v>Garbage Collection</v>
      </c>
      <c r="L11" t="s">
        <v>885</v>
      </c>
      <c r="M11" t="str">
        <f t="shared" si="1"/>
        <v>Garbage not collected for 3 days</v>
      </c>
      <c r="N11">
        <v>1</v>
      </c>
      <c r="O11" t="s">
        <v>18</v>
      </c>
      <c r="P11">
        <f t="shared" si="2"/>
        <v>7</v>
      </c>
      <c r="Q11" t="str">
        <f t="shared" si="3"/>
        <v>Within SLA</v>
      </c>
      <c r="R11" t="str">
        <f t="shared" si="4"/>
        <v>Off011</v>
      </c>
      <c r="S11">
        <v>14</v>
      </c>
      <c r="T11">
        <v>46</v>
      </c>
      <c r="U11">
        <v>12384</v>
      </c>
      <c r="V11">
        <v>12051</v>
      </c>
      <c r="W11" t="str">
        <f t="shared" si="5"/>
        <v>No</v>
      </c>
      <c r="X11" t="str">
        <f t="shared" si="6"/>
        <v>None</v>
      </c>
      <c r="Y11" s="2">
        <f t="shared" si="7"/>
        <v>46149</v>
      </c>
    </row>
    <row r="12" spans="1:28" x14ac:dyDescent="0.25">
      <c r="A12" t="s">
        <v>59</v>
      </c>
      <c r="B12" t="s">
        <v>60</v>
      </c>
      <c r="C12" t="s">
        <v>61</v>
      </c>
      <c r="D12" t="s">
        <v>13</v>
      </c>
      <c r="E12" t="s">
        <v>14</v>
      </c>
      <c r="F12" s="1">
        <v>18</v>
      </c>
      <c r="G12" t="s">
        <v>62</v>
      </c>
      <c r="H12" t="s">
        <v>16</v>
      </c>
      <c r="I12" t="s">
        <v>44</v>
      </c>
      <c r="J12" t="s">
        <v>18</v>
      </c>
      <c r="K12" t="str">
        <f t="shared" si="0"/>
        <v>General Complaint</v>
      </c>
      <c r="L12" t="s">
        <v>881</v>
      </c>
      <c r="M12" t="str">
        <f t="shared" si="1"/>
        <v>General complaint reported</v>
      </c>
      <c r="N12">
        <v>4</v>
      </c>
      <c r="O12" t="s">
        <v>37</v>
      </c>
      <c r="P12">
        <f t="shared" si="2"/>
        <v>15</v>
      </c>
      <c r="Q12" t="str">
        <f t="shared" si="3"/>
        <v>Delayed</v>
      </c>
      <c r="R12" t="str">
        <f t="shared" si="4"/>
        <v>Off012</v>
      </c>
      <c r="S12">
        <v>6</v>
      </c>
      <c r="T12">
        <v>6</v>
      </c>
      <c r="U12">
        <v>14068</v>
      </c>
      <c r="V12">
        <v>12427</v>
      </c>
      <c r="W12" t="str">
        <f t="shared" si="5"/>
        <v>Yes</v>
      </c>
      <c r="X12" t="str">
        <f t="shared" si="6"/>
        <v>Level 1</v>
      </c>
      <c r="Y12" s="2">
        <f t="shared" si="7"/>
        <v>45997</v>
      </c>
    </row>
    <row r="13" spans="1:28" x14ac:dyDescent="0.25">
      <c r="A13" t="s">
        <v>63</v>
      </c>
      <c r="B13" t="s">
        <v>11</v>
      </c>
      <c r="C13" t="s">
        <v>12</v>
      </c>
      <c r="D13" t="s">
        <v>34</v>
      </c>
      <c r="E13" t="s">
        <v>23</v>
      </c>
      <c r="F13" s="1">
        <v>6</v>
      </c>
      <c r="G13" t="s">
        <v>64</v>
      </c>
      <c r="H13" t="s">
        <v>40</v>
      </c>
      <c r="I13" t="s">
        <v>65</v>
      </c>
      <c r="J13" t="s">
        <v>37</v>
      </c>
      <c r="K13" t="str">
        <f t="shared" si="0"/>
        <v>Water Leakage</v>
      </c>
      <c r="L13" t="s">
        <v>882</v>
      </c>
      <c r="M13" t="str">
        <f t="shared" si="1"/>
        <v>Water pipe leakage near school</v>
      </c>
      <c r="N13">
        <v>1</v>
      </c>
      <c r="O13" t="s">
        <v>18</v>
      </c>
      <c r="P13">
        <f t="shared" si="2"/>
        <v>3</v>
      </c>
      <c r="Q13" t="str">
        <f t="shared" si="3"/>
        <v>Delayed</v>
      </c>
      <c r="R13" t="str">
        <f t="shared" si="4"/>
        <v>Off013</v>
      </c>
      <c r="S13">
        <v>8</v>
      </c>
      <c r="T13">
        <v>31</v>
      </c>
      <c r="U13">
        <v>11814</v>
      </c>
      <c r="V13">
        <v>11899</v>
      </c>
      <c r="W13" t="str">
        <f t="shared" si="5"/>
        <v>Yes</v>
      </c>
      <c r="X13" t="str">
        <f t="shared" si="6"/>
        <v>Level 3</v>
      </c>
      <c r="Y13" s="2">
        <f t="shared" si="7"/>
        <v>45837</v>
      </c>
    </row>
    <row r="14" spans="1:28" x14ac:dyDescent="0.25">
      <c r="A14" t="s">
        <v>66</v>
      </c>
      <c r="B14" t="s">
        <v>11</v>
      </c>
      <c r="C14" t="s">
        <v>49</v>
      </c>
      <c r="D14" t="s">
        <v>34</v>
      </c>
      <c r="E14" t="s">
        <v>30</v>
      </c>
      <c r="F14" s="1">
        <v>24</v>
      </c>
      <c r="G14" t="s">
        <v>67</v>
      </c>
      <c r="H14" t="s">
        <v>16</v>
      </c>
      <c r="I14" t="s">
        <v>65</v>
      </c>
      <c r="J14" t="s">
        <v>18</v>
      </c>
      <c r="K14" t="str">
        <f t="shared" si="0"/>
        <v>Water Leakage</v>
      </c>
      <c r="L14" t="s">
        <v>883</v>
      </c>
      <c r="M14" t="str">
        <f t="shared" si="1"/>
        <v>Water pipe leakage near school</v>
      </c>
      <c r="N14">
        <v>4</v>
      </c>
      <c r="O14" t="s">
        <v>37</v>
      </c>
      <c r="P14">
        <f t="shared" si="2"/>
        <v>3</v>
      </c>
      <c r="Q14" t="str">
        <f t="shared" si="3"/>
        <v>Delayed</v>
      </c>
      <c r="R14" t="str">
        <f t="shared" si="4"/>
        <v>Off014</v>
      </c>
      <c r="S14">
        <v>3</v>
      </c>
      <c r="T14">
        <v>26</v>
      </c>
      <c r="U14">
        <v>32015</v>
      </c>
      <c r="V14">
        <v>30428</v>
      </c>
      <c r="W14" t="str">
        <f t="shared" si="5"/>
        <v>Yes</v>
      </c>
      <c r="X14" t="str">
        <f t="shared" si="6"/>
        <v>Level 3</v>
      </c>
      <c r="Y14" s="2">
        <f t="shared" si="7"/>
        <v>45885</v>
      </c>
    </row>
    <row r="15" spans="1:28" x14ac:dyDescent="0.25">
      <c r="A15" t="s">
        <v>68</v>
      </c>
      <c r="B15" t="s">
        <v>69</v>
      </c>
      <c r="C15" t="s">
        <v>21</v>
      </c>
      <c r="D15" t="s">
        <v>22</v>
      </c>
      <c r="E15" t="s">
        <v>30</v>
      </c>
      <c r="F15" s="1">
        <v>16</v>
      </c>
      <c r="G15" t="s">
        <v>70</v>
      </c>
      <c r="H15" t="s">
        <v>58</v>
      </c>
      <c r="I15" t="s">
        <v>17</v>
      </c>
      <c r="J15" t="s">
        <v>18</v>
      </c>
      <c r="K15" t="str">
        <f t="shared" si="0"/>
        <v>General Complaint</v>
      </c>
      <c r="L15" t="s">
        <v>884</v>
      </c>
      <c r="M15" t="str">
        <f t="shared" si="1"/>
        <v>General complaint reported</v>
      </c>
      <c r="N15">
        <v>4</v>
      </c>
      <c r="O15" t="s">
        <v>37</v>
      </c>
      <c r="P15">
        <f t="shared" si="2"/>
        <v>7</v>
      </c>
      <c r="Q15" t="str">
        <f t="shared" si="3"/>
        <v>Delayed</v>
      </c>
      <c r="R15" t="str">
        <f t="shared" si="4"/>
        <v>Off015</v>
      </c>
      <c r="S15">
        <v>10</v>
      </c>
      <c r="T15">
        <v>14</v>
      </c>
      <c r="U15">
        <v>14306</v>
      </c>
      <c r="V15">
        <v>13096</v>
      </c>
      <c r="W15" t="str">
        <f t="shared" si="5"/>
        <v>Yes</v>
      </c>
      <c r="X15" t="str">
        <f t="shared" si="6"/>
        <v>Level 2</v>
      </c>
      <c r="Y15" s="2">
        <f t="shared" si="7"/>
        <v>46140</v>
      </c>
    </row>
    <row r="16" spans="1:28" x14ac:dyDescent="0.25">
      <c r="A16" t="s">
        <v>71</v>
      </c>
      <c r="B16" t="s">
        <v>20</v>
      </c>
      <c r="C16" t="s">
        <v>29</v>
      </c>
      <c r="D16" t="s">
        <v>13</v>
      </c>
      <c r="E16" t="s">
        <v>23</v>
      </c>
      <c r="F16" s="1">
        <v>25</v>
      </c>
      <c r="G16" t="s">
        <v>72</v>
      </c>
      <c r="H16" t="s">
        <v>58</v>
      </c>
      <c r="I16" t="s">
        <v>44</v>
      </c>
      <c r="J16" t="s">
        <v>18</v>
      </c>
      <c r="K16" t="str">
        <f t="shared" si="0"/>
        <v>Garbage Collection</v>
      </c>
      <c r="L16" t="s">
        <v>885</v>
      </c>
      <c r="M16" t="str">
        <f t="shared" si="1"/>
        <v>Garbage not collected for 3 days</v>
      </c>
      <c r="N16">
        <v>3</v>
      </c>
      <c r="O16" t="s">
        <v>37</v>
      </c>
      <c r="P16">
        <f t="shared" si="2"/>
        <v>15</v>
      </c>
      <c r="Q16" t="str">
        <f t="shared" si="3"/>
        <v>Delayed</v>
      </c>
      <c r="R16" t="str">
        <f t="shared" si="4"/>
        <v>Off016</v>
      </c>
      <c r="S16">
        <v>6</v>
      </c>
      <c r="T16">
        <v>43</v>
      </c>
      <c r="U16">
        <v>2102</v>
      </c>
      <c r="V16">
        <v>2795</v>
      </c>
      <c r="W16" t="str">
        <f t="shared" si="5"/>
        <v>Yes</v>
      </c>
      <c r="X16" t="str">
        <f t="shared" si="6"/>
        <v>Level 1</v>
      </c>
      <c r="Y16" s="2">
        <f t="shared" si="7"/>
        <v>45831</v>
      </c>
    </row>
    <row r="17" spans="1:25" x14ac:dyDescent="0.25">
      <c r="A17" t="s">
        <v>73</v>
      </c>
      <c r="B17" t="s">
        <v>20</v>
      </c>
      <c r="C17" t="s">
        <v>39</v>
      </c>
      <c r="D17" t="s">
        <v>22</v>
      </c>
      <c r="E17" t="s">
        <v>23</v>
      </c>
      <c r="F17" s="1">
        <v>29</v>
      </c>
      <c r="G17" t="s">
        <v>74</v>
      </c>
      <c r="H17" t="s">
        <v>58</v>
      </c>
      <c r="I17" t="s">
        <v>65</v>
      </c>
      <c r="J17" t="s">
        <v>18</v>
      </c>
      <c r="K17" t="str">
        <f t="shared" si="0"/>
        <v>Garbage Collection</v>
      </c>
      <c r="L17" t="s">
        <v>881</v>
      </c>
      <c r="M17" t="str">
        <f t="shared" si="1"/>
        <v>Garbage not collected for 3 days</v>
      </c>
      <c r="N17">
        <v>1</v>
      </c>
      <c r="O17" t="s">
        <v>18</v>
      </c>
      <c r="P17">
        <f t="shared" si="2"/>
        <v>7</v>
      </c>
      <c r="Q17" t="str">
        <f t="shared" si="3"/>
        <v>Delayed</v>
      </c>
      <c r="R17" t="str">
        <f t="shared" si="4"/>
        <v>Off017</v>
      </c>
      <c r="S17">
        <v>14</v>
      </c>
      <c r="T17">
        <v>42</v>
      </c>
      <c r="U17">
        <v>44913</v>
      </c>
      <c r="V17">
        <v>43063</v>
      </c>
      <c r="W17" t="str">
        <f t="shared" si="5"/>
        <v>Yes</v>
      </c>
      <c r="X17" t="str">
        <f t="shared" si="6"/>
        <v>Level 2</v>
      </c>
      <c r="Y17" s="2">
        <f t="shared" si="7"/>
        <v>46083</v>
      </c>
    </row>
    <row r="18" spans="1:25" x14ac:dyDescent="0.25">
      <c r="A18" t="s">
        <v>75</v>
      </c>
      <c r="B18" t="s">
        <v>11</v>
      </c>
      <c r="C18" t="s">
        <v>76</v>
      </c>
      <c r="D18" t="s">
        <v>22</v>
      </c>
      <c r="E18" t="s">
        <v>42</v>
      </c>
      <c r="F18" s="1">
        <v>14</v>
      </c>
      <c r="G18" t="s">
        <v>77</v>
      </c>
      <c r="H18" t="s">
        <v>25</v>
      </c>
      <c r="I18" t="s">
        <v>36</v>
      </c>
      <c r="J18" t="s">
        <v>18</v>
      </c>
      <c r="K18" t="str">
        <f t="shared" si="0"/>
        <v>Water Leakage</v>
      </c>
      <c r="L18" t="s">
        <v>882</v>
      </c>
      <c r="M18" t="str">
        <f t="shared" si="1"/>
        <v>Water pipe leakage near school</v>
      </c>
      <c r="N18">
        <v>3</v>
      </c>
      <c r="O18" t="s">
        <v>37</v>
      </c>
      <c r="P18">
        <f t="shared" si="2"/>
        <v>7</v>
      </c>
      <c r="Q18" t="str">
        <f t="shared" si="3"/>
        <v>Delayed</v>
      </c>
      <c r="R18" t="str">
        <f t="shared" si="4"/>
        <v>Off018</v>
      </c>
      <c r="S18">
        <v>7</v>
      </c>
      <c r="T18">
        <v>9</v>
      </c>
      <c r="U18">
        <v>38200</v>
      </c>
      <c r="V18">
        <v>37158</v>
      </c>
      <c r="W18" t="str">
        <f t="shared" si="5"/>
        <v>Yes</v>
      </c>
      <c r="X18" t="str">
        <f t="shared" si="6"/>
        <v>Level 2</v>
      </c>
      <c r="Y18" s="2">
        <f t="shared" si="7"/>
        <v>45706</v>
      </c>
    </row>
    <row r="19" spans="1:25" x14ac:dyDescent="0.25">
      <c r="A19" t="s">
        <v>78</v>
      </c>
      <c r="B19" t="s">
        <v>28</v>
      </c>
      <c r="C19" t="s">
        <v>49</v>
      </c>
      <c r="D19" t="s">
        <v>34</v>
      </c>
      <c r="E19" t="s">
        <v>30</v>
      </c>
      <c r="F19" s="1">
        <v>42</v>
      </c>
      <c r="G19" t="s">
        <v>79</v>
      </c>
      <c r="H19" t="s">
        <v>58</v>
      </c>
      <c r="I19" t="s">
        <v>65</v>
      </c>
      <c r="J19" t="s">
        <v>18</v>
      </c>
      <c r="K19" t="str">
        <f t="shared" si="0"/>
        <v>Road Damage</v>
      </c>
      <c r="L19" t="s">
        <v>883</v>
      </c>
      <c r="M19" t="str">
        <f t="shared" si="1"/>
        <v>Road damaged due to heavy rain</v>
      </c>
      <c r="N19">
        <v>3</v>
      </c>
      <c r="O19" t="s">
        <v>37</v>
      </c>
      <c r="P19">
        <f t="shared" si="2"/>
        <v>3</v>
      </c>
      <c r="Q19" t="str">
        <f t="shared" si="3"/>
        <v>Delayed</v>
      </c>
      <c r="R19" t="str">
        <f>"Off"&amp;TEXT(ROW(A19),"000")</f>
        <v>Off019</v>
      </c>
      <c r="S19">
        <v>14</v>
      </c>
      <c r="T19">
        <v>16</v>
      </c>
      <c r="U19">
        <v>26319</v>
      </c>
      <c r="V19">
        <v>27823</v>
      </c>
      <c r="W19" t="str">
        <f t="shared" si="5"/>
        <v>Yes</v>
      </c>
      <c r="X19" t="str">
        <f t="shared" si="6"/>
        <v>Level 3</v>
      </c>
      <c r="Y19" s="2">
        <f t="shared" si="7"/>
        <v>45739</v>
      </c>
    </row>
    <row r="20" spans="1:25" x14ac:dyDescent="0.25">
      <c r="A20" t="s">
        <v>80</v>
      </c>
      <c r="B20" t="s">
        <v>28</v>
      </c>
      <c r="C20" t="s">
        <v>33</v>
      </c>
      <c r="D20" t="s">
        <v>34</v>
      </c>
      <c r="E20" t="s">
        <v>42</v>
      </c>
      <c r="F20" s="1">
        <v>28</v>
      </c>
      <c r="G20" t="s">
        <v>79</v>
      </c>
      <c r="H20" t="s">
        <v>58</v>
      </c>
      <c r="I20" t="s">
        <v>65</v>
      </c>
      <c r="J20" t="s">
        <v>18</v>
      </c>
      <c r="K20" t="str">
        <f t="shared" si="0"/>
        <v>Road Damage</v>
      </c>
      <c r="L20" t="s">
        <v>884</v>
      </c>
      <c r="M20" t="str">
        <f t="shared" si="1"/>
        <v>Road damaged due to heavy rain</v>
      </c>
      <c r="N20">
        <v>4</v>
      </c>
      <c r="O20" t="s">
        <v>37</v>
      </c>
      <c r="P20">
        <f t="shared" si="2"/>
        <v>3</v>
      </c>
      <c r="Q20" t="str">
        <f t="shared" si="3"/>
        <v>Delayed</v>
      </c>
      <c r="R20" t="str">
        <f t="shared" si="4"/>
        <v>Off020</v>
      </c>
      <c r="S20">
        <v>9</v>
      </c>
      <c r="T20">
        <v>41</v>
      </c>
      <c r="U20">
        <v>38894</v>
      </c>
      <c r="V20">
        <v>39244</v>
      </c>
      <c r="W20" t="str">
        <f t="shared" si="5"/>
        <v>Yes</v>
      </c>
      <c r="X20" t="str">
        <f t="shared" si="6"/>
        <v>Level 3</v>
      </c>
      <c r="Y20" s="2">
        <f t="shared" si="7"/>
        <v>45725</v>
      </c>
    </row>
    <row r="21" spans="1:25" x14ac:dyDescent="0.25">
      <c r="A21" t="s">
        <v>81</v>
      </c>
      <c r="B21" t="s">
        <v>69</v>
      </c>
      <c r="C21" t="s">
        <v>76</v>
      </c>
      <c r="D21" t="s">
        <v>22</v>
      </c>
      <c r="E21" t="s">
        <v>42</v>
      </c>
      <c r="F21" s="1">
        <v>5</v>
      </c>
      <c r="G21" t="s">
        <v>82</v>
      </c>
      <c r="H21" t="s">
        <v>40</v>
      </c>
      <c r="I21" t="s">
        <v>17</v>
      </c>
      <c r="J21" t="s">
        <v>37</v>
      </c>
      <c r="K21" t="str">
        <f t="shared" si="0"/>
        <v>General Complaint</v>
      </c>
      <c r="L21" t="s">
        <v>885</v>
      </c>
      <c r="M21" t="str">
        <f t="shared" si="1"/>
        <v>General complaint reported</v>
      </c>
      <c r="N21">
        <v>3</v>
      </c>
      <c r="O21" t="s">
        <v>37</v>
      </c>
      <c r="P21">
        <f t="shared" si="2"/>
        <v>7</v>
      </c>
      <c r="Q21" t="str">
        <f t="shared" si="3"/>
        <v>Within SLA</v>
      </c>
      <c r="R21" t="str">
        <f t="shared" si="4"/>
        <v>Off021</v>
      </c>
      <c r="S21">
        <v>12</v>
      </c>
      <c r="T21">
        <v>17</v>
      </c>
      <c r="U21">
        <v>29387</v>
      </c>
      <c r="V21">
        <v>29602</v>
      </c>
      <c r="W21" t="str">
        <f t="shared" si="5"/>
        <v>No</v>
      </c>
      <c r="X21" t="str">
        <f t="shared" si="6"/>
        <v>None</v>
      </c>
      <c r="Y21" s="2">
        <f t="shared" si="7"/>
        <v>46161</v>
      </c>
    </row>
    <row r="22" spans="1:25" x14ac:dyDescent="0.25">
      <c r="A22" t="s">
        <v>83</v>
      </c>
      <c r="B22" t="s">
        <v>69</v>
      </c>
      <c r="C22" t="s">
        <v>84</v>
      </c>
      <c r="D22" t="s">
        <v>22</v>
      </c>
      <c r="E22" t="s">
        <v>14</v>
      </c>
      <c r="F22" s="1">
        <v>25</v>
      </c>
      <c r="G22" t="s">
        <v>85</v>
      </c>
      <c r="H22" t="s">
        <v>40</v>
      </c>
      <c r="I22" t="s">
        <v>65</v>
      </c>
      <c r="J22" t="s">
        <v>18</v>
      </c>
      <c r="K22" t="str">
        <f t="shared" si="0"/>
        <v>General Complaint</v>
      </c>
      <c r="L22" t="s">
        <v>881</v>
      </c>
      <c r="M22" t="str">
        <f t="shared" si="1"/>
        <v>General complaint reported</v>
      </c>
      <c r="N22">
        <v>3</v>
      </c>
      <c r="O22" t="s">
        <v>37</v>
      </c>
      <c r="P22">
        <f t="shared" si="2"/>
        <v>7</v>
      </c>
      <c r="Q22" t="str">
        <f t="shared" si="3"/>
        <v>Delayed</v>
      </c>
      <c r="R22" t="str">
        <f t="shared" si="4"/>
        <v>Off022</v>
      </c>
      <c r="S22">
        <v>13</v>
      </c>
      <c r="T22">
        <v>32</v>
      </c>
      <c r="U22">
        <v>34238</v>
      </c>
      <c r="V22">
        <v>34779</v>
      </c>
      <c r="W22" t="str">
        <f t="shared" si="5"/>
        <v>Yes</v>
      </c>
      <c r="X22" t="str">
        <f t="shared" si="6"/>
        <v>Level 2</v>
      </c>
      <c r="Y22" s="2">
        <f t="shared" si="7"/>
        <v>45958</v>
      </c>
    </row>
    <row r="23" spans="1:25" x14ac:dyDescent="0.25">
      <c r="A23" t="s">
        <v>86</v>
      </c>
      <c r="B23" t="s">
        <v>11</v>
      </c>
      <c r="C23" t="s">
        <v>29</v>
      </c>
      <c r="D23" t="s">
        <v>22</v>
      </c>
      <c r="E23" t="s">
        <v>42</v>
      </c>
      <c r="F23" s="1">
        <v>2</v>
      </c>
      <c r="G23" t="s">
        <v>87</v>
      </c>
      <c r="H23" t="s">
        <v>25</v>
      </c>
      <c r="I23" t="s">
        <v>17</v>
      </c>
      <c r="J23" t="s">
        <v>37</v>
      </c>
      <c r="K23" t="str">
        <f t="shared" si="0"/>
        <v>Water Leakage</v>
      </c>
      <c r="L23" t="s">
        <v>882</v>
      </c>
      <c r="M23" t="str">
        <f t="shared" si="1"/>
        <v>Water pipe leakage near school</v>
      </c>
      <c r="N23">
        <v>2</v>
      </c>
      <c r="O23" t="s">
        <v>18</v>
      </c>
      <c r="P23">
        <f t="shared" si="2"/>
        <v>7</v>
      </c>
      <c r="Q23" t="str">
        <f t="shared" si="3"/>
        <v>Within SLA</v>
      </c>
      <c r="R23" t="str">
        <f t="shared" si="4"/>
        <v>Off023</v>
      </c>
      <c r="S23">
        <v>14</v>
      </c>
      <c r="T23">
        <v>23</v>
      </c>
      <c r="U23">
        <v>14461</v>
      </c>
      <c r="V23">
        <v>14836</v>
      </c>
      <c r="W23" t="str">
        <f t="shared" si="5"/>
        <v>No</v>
      </c>
      <c r="X23" t="str">
        <f t="shared" si="6"/>
        <v>None</v>
      </c>
      <c r="Y23" s="2">
        <f t="shared" si="7"/>
        <v>45914</v>
      </c>
    </row>
    <row r="24" spans="1:25" x14ac:dyDescent="0.25">
      <c r="A24" t="s">
        <v>88</v>
      </c>
      <c r="B24" t="s">
        <v>11</v>
      </c>
      <c r="C24" t="s">
        <v>49</v>
      </c>
      <c r="D24" t="s">
        <v>13</v>
      </c>
      <c r="E24" t="s">
        <v>30</v>
      </c>
      <c r="F24" s="1">
        <v>20</v>
      </c>
      <c r="G24" t="s">
        <v>89</v>
      </c>
      <c r="H24" t="s">
        <v>51</v>
      </c>
      <c r="I24" t="s">
        <v>26</v>
      </c>
      <c r="J24" t="s">
        <v>18</v>
      </c>
      <c r="K24" t="str">
        <f t="shared" si="0"/>
        <v>Water Leakage</v>
      </c>
      <c r="L24" t="s">
        <v>883</v>
      </c>
      <c r="M24" t="str">
        <f t="shared" si="1"/>
        <v>Water pipe leakage near school</v>
      </c>
      <c r="N24">
        <v>1</v>
      </c>
      <c r="O24" t="s">
        <v>18</v>
      </c>
      <c r="P24">
        <f t="shared" si="2"/>
        <v>15</v>
      </c>
      <c r="Q24" t="str">
        <f t="shared" si="3"/>
        <v>Delayed</v>
      </c>
      <c r="R24" t="str">
        <f t="shared" si="4"/>
        <v>Off024</v>
      </c>
      <c r="S24">
        <v>13</v>
      </c>
      <c r="T24">
        <v>50</v>
      </c>
      <c r="U24">
        <v>4035</v>
      </c>
      <c r="V24">
        <v>5025</v>
      </c>
      <c r="W24" t="str">
        <f t="shared" si="5"/>
        <v>Yes</v>
      </c>
      <c r="X24" t="str">
        <f t="shared" si="6"/>
        <v>Level 1</v>
      </c>
      <c r="Y24" s="2">
        <f t="shared" si="7"/>
        <v>45854</v>
      </c>
    </row>
    <row r="25" spans="1:25" x14ac:dyDescent="0.25">
      <c r="A25" t="s">
        <v>90</v>
      </c>
      <c r="B25" t="s">
        <v>11</v>
      </c>
      <c r="C25" t="s">
        <v>39</v>
      </c>
      <c r="D25" t="s">
        <v>34</v>
      </c>
      <c r="E25" t="s">
        <v>42</v>
      </c>
      <c r="F25" s="1">
        <v>21</v>
      </c>
      <c r="G25" t="s">
        <v>91</v>
      </c>
      <c r="H25" t="s">
        <v>47</v>
      </c>
      <c r="I25" t="s">
        <v>65</v>
      </c>
      <c r="J25" t="s">
        <v>18</v>
      </c>
      <c r="K25" t="str">
        <f t="shared" si="0"/>
        <v>Water Leakage</v>
      </c>
      <c r="L25" t="s">
        <v>884</v>
      </c>
      <c r="M25" t="str">
        <f t="shared" si="1"/>
        <v>Water pipe leakage near school</v>
      </c>
      <c r="N25">
        <v>3</v>
      </c>
      <c r="O25" t="s">
        <v>37</v>
      </c>
      <c r="P25">
        <f t="shared" si="2"/>
        <v>3</v>
      </c>
      <c r="Q25" t="str">
        <f t="shared" si="3"/>
        <v>Delayed</v>
      </c>
      <c r="R25" t="str">
        <f t="shared" si="4"/>
        <v>Off025</v>
      </c>
      <c r="S25">
        <v>9</v>
      </c>
      <c r="T25">
        <v>13</v>
      </c>
      <c r="U25">
        <v>47508</v>
      </c>
      <c r="V25">
        <v>45535</v>
      </c>
      <c r="W25" t="str">
        <f t="shared" si="5"/>
        <v>Yes</v>
      </c>
      <c r="X25" t="str">
        <f t="shared" si="6"/>
        <v>Level 3</v>
      </c>
      <c r="Y25" s="2">
        <f t="shared" si="7"/>
        <v>45847</v>
      </c>
    </row>
    <row r="26" spans="1:25" x14ac:dyDescent="0.25">
      <c r="A26" t="s">
        <v>92</v>
      </c>
      <c r="B26" t="s">
        <v>69</v>
      </c>
      <c r="C26" t="s">
        <v>39</v>
      </c>
      <c r="D26" t="s">
        <v>22</v>
      </c>
      <c r="E26" t="s">
        <v>14</v>
      </c>
      <c r="F26" s="1">
        <v>4</v>
      </c>
      <c r="G26" t="s">
        <v>93</v>
      </c>
      <c r="H26" t="s">
        <v>16</v>
      </c>
      <c r="I26" t="s">
        <v>26</v>
      </c>
      <c r="J26" t="s">
        <v>37</v>
      </c>
      <c r="K26" t="str">
        <f t="shared" si="0"/>
        <v>General Complaint</v>
      </c>
      <c r="L26" t="s">
        <v>885</v>
      </c>
      <c r="M26" t="str">
        <f t="shared" si="1"/>
        <v>General complaint reported</v>
      </c>
      <c r="N26">
        <v>3</v>
      </c>
      <c r="O26" t="s">
        <v>37</v>
      </c>
      <c r="P26">
        <f t="shared" si="2"/>
        <v>7</v>
      </c>
      <c r="Q26" t="str">
        <f t="shared" si="3"/>
        <v>Within SLA</v>
      </c>
      <c r="R26" t="str">
        <f t="shared" si="4"/>
        <v>Off026</v>
      </c>
      <c r="S26">
        <v>10</v>
      </c>
      <c r="T26">
        <v>16</v>
      </c>
      <c r="U26">
        <v>41382</v>
      </c>
      <c r="V26">
        <v>40459</v>
      </c>
      <c r="W26" t="str">
        <f t="shared" si="5"/>
        <v>No</v>
      </c>
      <c r="X26" t="str">
        <f t="shared" si="6"/>
        <v>None</v>
      </c>
      <c r="Y26" s="2">
        <f t="shared" si="7"/>
        <v>45665</v>
      </c>
    </row>
    <row r="27" spans="1:25" x14ac:dyDescent="0.25">
      <c r="A27" t="s">
        <v>94</v>
      </c>
      <c r="B27" t="s">
        <v>53</v>
      </c>
      <c r="C27" t="s">
        <v>39</v>
      </c>
      <c r="D27" t="s">
        <v>22</v>
      </c>
      <c r="E27" t="s">
        <v>42</v>
      </c>
      <c r="F27" s="1">
        <v>12</v>
      </c>
      <c r="G27" t="s">
        <v>95</v>
      </c>
      <c r="H27" t="s">
        <v>25</v>
      </c>
      <c r="I27" t="s">
        <v>65</v>
      </c>
      <c r="J27" t="s">
        <v>18</v>
      </c>
      <c r="K27" t="str">
        <f t="shared" si="0"/>
        <v>Public Transport Delay</v>
      </c>
      <c r="L27" t="s">
        <v>881</v>
      </c>
      <c r="M27" t="str">
        <f t="shared" si="1"/>
        <v>Bus arrival delay reported</v>
      </c>
      <c r="N27">
        <v>2</v>
      </c>
      <c r="O27" t="s">
        <v>18</v>
      </c>
      <c r="P27">
        <f t="shared" si="2"/>
        <v>7</v>
      </c>
      <c r="Q27" t="str">
        <f t="shared" si="3"/>
        <v>Delayed</v>
      </c>
      <c r="R27" t="str">
        <f t="shared" si="4"/>
        <v>Off027</v>
      </c>
      <c r="S27">
        <v>10</v>
      </c>
      <c r="T27">
        <v>32</v>
      </c>
      <c r="U27">
        <v>9217</v>
      </c>
      <c r="V27">
        <v>9167</v>
      </c>
      <c r="W27" t="str">
        <f t="shared" si="5"/>
        <v>Yes</v>
      </c>
      <c r="X27" t="str">
        <f t="shared" si="6"/>
        <v>Level 2</v>
      </c>
      <c r="Y27" s="2">
        <f t="shared" si="7"/>
        <v>45677</v>
      </c>
    </row>
    <row r="28" spans="1:25" x14ac:dyDescent="0.25">
      <c r="A28" t="s">
        <v>96</v>
      </c>
      <c r="B28" t="s">
        <v>28</v>
      </c>
      <c r="C28" t="s">
        <v>49</v>
      </c>
      <c r="D28" t="s">
        <v>34</v>
      </c>
      <c r="E28" t="s">
        <v>42</v>
      </c>
      <c r="F28" s="1">
        <v>25</v>
      </c>
      <c r="G28" t="s">
        <v>97</v>
      </c>
      <c r="H28" t="s">
        <v>47</v>
      </c>
      <c r="I28" t="s">
        <v>65</v>
      </c>
      <c r="J28" t="s">
        <v>18</v>
      </c>
      <c r="K28" t="str">
        <f t="shared" si="0"/>
        <v>Road Damage</v>
      </c>
      <c r="L28" t="s">
        <v>882</v>
      </c>
      <c r="M28" t="str">
        <f t="shared" si="1"/>
        <v>Road damaged due to heavy rain</v>
      </c>
      <c r="N28">
        <v>1</v>
      </c>
      <c r="O28" t="s">
        <v>18</v>
      </c>
      <c r="P28">
        <f t="shared" si="2"/>
        <v>3</v>
      </c>
      <c r="Q28" t="str">
        <f t="shared" si="3"/>
        <v>Delayed</v>
      </c>
      <c r="R28" t="str">
        <f t="shared" si="4"/>
        <v>Off028</v>
      </c>
      <c r="S28">
        <v>2</v>
      </c>
      <c r="T28">
        <v>29</v>
      </c>
      <c r="U28">
        <v>26471</v>
      </c>
      <c r="V28">
        <v>25603</v>
      </c>
      <c r="W28" t="str">
        <f t="shared" si="5"/>
        <v>Yes</v>
      </c>
      <c r="X28" t="str">
        <f t="shared" si="6"/>
        <v>Level 3</v>
      </c>
      <c r="Y28" s="2">
        <f t="shared" si="7"/>
        <v>46091</v>
      </c>
    </row>
    <row r="29" spans="1:25" x14ac:dyDescent="0.25">
      <c r="A29" t="s">
        <v>98</v>
      </c>
      <c r="B29" t="s">
        <v>53</v>
      </c>
      <c r="C29" t="s">
        <v>12</v>
      </c>
      <c r="D29" t="s">
        <v>22</v>
      </c>
      <c r="E29" t="s">
        <v>42</v>
      </c>
      <c r="F29" s="1">
        <v>17</v>
      </c>
      <c r="G29" t="s">
        <v>99</v>
      </c>
      <c r="H29" t="s">
        <v>51</v>
      </c>
      <c r="I29" t="s">
        <v>36</v>
      </c>
      <c r="J29" t="s">
        <v>18</v>
      </c>
      <c r="K29" t="str">
        <f t="shared" si="0"/>
        <v>Public Transport Delay</v>
      </c>
      <c r="L29" t="s">
        <v>883</v>
      </c>
      <c r="M29" t="str">
        <f t="shared" si="1"/>
        <v>Bus arrival delay reported</v>
      </c>
      <c r="N29">
        <v>3</v>
      </c>
      <c r="O29" t="s">
        <v>37</v>
      </c>
      <c r="P29">
        <f t="shared" si="2"/>
        <v>7</v>
      </c>
      <c r="Q29" t="str">
        <f t="shared" si="3"/>
        <v>Delayed</v>
      </c>
      <c r="R29" t="str">
        <f t="shared" si="4"/>
        <v>Off029</v>
      </c>
      <c r="S29">
        <v>10</v>
      </c>
      <c r="T29">
        <v>48</v>
      </c>
      <c r="U29">
        <v>14234</v>
      </c>
      <c r="V29">
        <v>15094</v>
      </c>
      <c r="W29" t="str">
        <f t="shared" si="5"/>
        <v>Yes</v>
      </c>
      <c r="X29" t="str">
        <f t="shared" si="6"/>
        <v>Level 2</v>
      </c>
      <c r="Y29" s="2">
        <f t="shared" si="7"/>
        <v>45817</v>
      </c>
    </row>
    <row r="30" spans="1:25" x14ac:dyDescent="0.25">
      <c r="A30" t="s">
        <v>100</v>
      </c>
      <c r="B30" t="s">
        <v>28</v>
      </c>
      <c r="C30" t="s">
        <v>29</v>
      </c>
      <c r="D30" t="s">
        <v>13</v>
      </c>
      <c r="E30" t="s">
        <v>30</v>
      </c>
      <c r="F30" s="1">
        <v>5</v>
      </c>
      <c r="G30" t="s">
        <v>101</v>
      </c>
      <c r="H30" t="s">
        <v>16</v>
      </c>
      <c r="I30" t="s">
        <v>17</v>
      </c>
      <c r="J30" t="s">
        <v>37</v>
      </c>
      <c r="K30" t="str">
        <f t="shared" si="0"/>
        <v>Road Damage</v>
      </c>
      <c r="L30" t="s">
        <v>884</v>
      </c>
      <c r="M30" t="str">
        <f t="shared" si="1"/>
        <v>Road damaged due to heavy rain</v>
      </c>
      <c r="N30">
        <v>5</v>
      </c>
      <c r="O30" t="s">
        <v>37</v>
      </c>
      <c r="P30">
        <f t="shared" si="2"/>
        <v>15</v>
      </c>
      <c r="Q30" t="str">
        <f t="shared" si="3"/>
        <v>Within SLA</v>
      </c>
      <c r="R30" t="str">
        <f t="shared" si="4"/>
        <v>Off030</v>
      </c>
      <c r="S30">
        <v>8</v>
      </c>
      <c r="T30">
        <v>12</v>
      </c>
      <c r="U30">
        <v>26612</v>
      </c>
      <c r="V30">
        <v>25362</v>
      </c>
      <c r="W30" t="str">
        <f t="shared" si="5"/>
        <v>No</v>
      </c>
      <c r="X30" t="str">
        <f t="shared" si="6"/>
        <v>None</v>
      </c>
      <c r="Y30" s="2">
        <f t="shared" si="7"/>
        <v>46051</v>
      </c>
    </row>
    <row r="31" spans="1:25" x14ac:dyDescent="0.25">
      <c r="A31" t="s">
        <v>102</v>
      </c>
      <c r="B31" t="s">
        <v>11</v>
      </c>
      <c r="C31" t="s">
        <v>49</v>
      </c>
      <c r="D31" t="s">
        <v>13</v>
      </c>
      <c r="E31" t="s">
        <v>30</v>
      </c>
      <c r="F31" s="1">
        <v>22</v>
      </c>
      <c r="G31" t="s">
        <v>103</v>
      </c>
      <c r="H31" t="s">
        <v>40</v>
      </c>
      <c r="I31" t="s">
        <v>36</v>
      </c>
      <c r="J31" t="s">
        <v>18</v>
      </c>
      <c r="K31" t="str">
        <f t="shared" si="0"/>
        <v>Water Leakage</v>
      </c>
      <c r="L31" t="s">
        <v>885</v>
      </c>
      <c r="M31" t="str">
        <f t="shared" si="1"/>
        <v>Water pipe leakage near school</v>
      </c>
      <c r="N31">
        <v>1</v>
      </c>
      <c r="O31" t="s">
        <v>18</v>
      </c>
      <c r="P31">
        <f t="shared" si="2"/>
        <v>15</v>
      </c>
      <c r="Q31" t="str">
        <f t="shared" si="3"/>
        <v>Delayed</v>
      </c>
      <c r="R31" t="str">
        <f t="shared" si="4"/>
        <v>Off031</v>
      </c>
      <c r="S31">
        <v>2</v>
      </c>
      <c r="T31">
        <v>9</v>
      </c>
      <c r="U31">
        <v>18169</v>
      </c>
      <c r="V31">
        <v>17169</v>
      </c>
      <c r="W31" t="str">
        <f t="shared" si="5"/>
        <v>Yes</v>
      </c>
      <c r="X31" t="str">
        <f t="shared" si="6"/>
        <v>Level 1</v>
      </c>
      <c r="Y31" s="2">
        <f t="shared" si="7"/>
        <v>45720</v>
      </c>
    </row>
    <row r="32" spans="1:25" x14ac:dyDescent="0.25">
      <c r="A32" t="s">
        <v>104</v>
      </c>
      <c r="B32" t="s">
        <v>60</v>
      </c>
      <c r="C32" t="s">
        <v>56</v>
      </c>
      <c r="D32" t="s">
        <v>13</v>
      </c>
      <c r="E32" t="s">
        <v>30</v>
      </c>
      <c r="F32" s="1">
        <v>30</v>
      </c>
      <c r="G32" t="s">
        <v>35</v>
      </c>
      <c r="H32" t="s">
        <v>47</v>
      </c>
      <c r="I32" t="s">
        <v>65</v>
      </c>
      <c r="J32" t="s">
        <v>18</v>
      </c>
      <c r="K32" t="str">
        <f t="shared" si="0"/>
        <v>General Complaint</v>
      </c>
      <c r="L32" t="s">
        <v>881</v>
      </c>
      <c r="M32" t="str">
        <f t="shared" si="1"/>
        <v>General complaint reported</v>
      </c>
      <c r="N32">
        <v>5</v>
      </c>
      <c r="O32" t="s">
        <v>37</v>
      </c>
      <c r="P32">
        <f t="shared" si="2"/>
        <v>15</v>
      </c>
      <c r="Q32" t="str">
        <f t="shared" si="3"/>
        <v>Delayed</v>
      </c>
      <c r="R32" t="str">
        <f t="shared" si="4"/>
        <v>Off032</v>
      </c>
      <c r="S32">
        <v>1</v>
      </c>
      <c r="T32">
        <v>45</v>
      </c>
      <c r="U32">
        <v>37284</v>
      </c>
      <c r="V32">
        <v>36688</v>
      </c>
      <c r="W32" t="str">
        <f t="shared" si="5"/>
        <v>Yes</v>
      </c>
      <c r="X32" t="str">
        <f t="shared" si="6"/>
        <v>Level 1</v>
      </c>
      <c r="Y32" s="2">
        <f t="shared" si="7"/>
        <v>45974</v>
      </c>
    </row>
    <row r="33" spans="1:25" x14ac:dyDescent="0.25">
      <c r="A33" t="s">
        <v>105</v>
      </c>
      <c r="B33" t="s">
        <v>69</v>
      </c>
      <c r="C33" t="s">
        <v>84</v>
      </c>
      <c r="D33" t="s">
        <v>34</v>
      </c>
      <c r="E33" t="s">
        <v>30</v>
      </c>
      <c r="F33" s="1">
        <v>32</v>
      </c>
      <c r="G33" t="s">
        <v>106</v>
      </c>
      <c r="H33" t="s">
        <v>25</v>
      </c>
      <c r="I33" t="s">
        <v>36</v>
      </c>
      <c r="J33" t="s">
        <v>18</v>
      </c>
      <c r="K33" t="str">
        <f t="shared" si="0"/>
        <v>General Complaint</v>
      </c>
      <c r="L33" t="s">
        <v>882</v>
      </c>
      <c r="M33" t="str">
        <f t="shared" si="1"/>
        <v>General complaint reported</v>
      </c>
      <c r="N33">
        <v>4</v>
      </c>
      <c r="O33" t="s">
        <v>37</v>
      </c>
      <c r="P33">
        <f t="shared" si="2"/>
        <v>3</v>
      </c>
      <c r="Q33" t="str">
        <f t="shared" si="3"/>
        <v>Delayed</v>
      </c>
      <c r="R33" t="str">
        <f t="shared" si="4"/>
        <v>Off033</v>
      </c>
      <c r="S33">
        <v>9</v>
      </c>
      <c r="T33">
        <v>7</v>
      </c>
      <c r="U33">
        <v>9469</v>
      </c>
      <c r="V33">
        <v>7775</v>
      </c>
      <c r="W33" t="str">
        <f t="shared" si="5"/>
        <v>Yes</v>
      </c>
      <c r="X33" t="str">
        <f t="shared" si="6"/>
        <v>Level 3</v>
      </c>
      <c r="Y33" s="2">
        <f t="shared" si="7"/>
        <v>46131</v>
      </c>
    </row>
    <row r="34" spans="1:25" x14ac:dyDescent="0.25">
      <c r="A34" t="s">
        <v>107</v>
      </c>
      <c r="B34" t="s">
        <v>53</v>
      </c>
      <c r="C34" t="s">
        <v>29</v>
      </c>
      <c r="D34" t="s">
        <v>13</v>
      </c>
      <c r="E34" t="s">
        <v>14</v>
      </c>
      <c r="F34" s="1">
        <v>30</v>
      </c>
      <c r="G34" t="s">
        <v>108</v>
      </c>
      <c r="H34" t="s">
        <v>40</v>
      </c>
      <c r="I34" t="s">
        <v>26</v>
      </c>
      <c r="J34" t="s">
        <v>18</v>
      </c>
      <c r="K34" t="str">
        <f t="shared" si="0"/>
        <v>Public Transport Delay</v>
      </c>
      <c r="L34" t="s">
        <v>883</v>
      </c>
      <c r="M34" t="str">
        <f t="shared" si="1"/>
        <v>Bus arrival delay reported</v>
      </c>
      <c r="N34">
        <v>5</v>
      </c>
      <c r="O34" t="s">
        <v>37</v>
      </c>
      <c r="P34">
        <f t="shared" si="2"/>
        <v>15</v>
      </c>
      <c r="Q34" t="str">
        <f t="shared" si="3"/>
        <v>Delayed</v>
      </c>
      <c r="R34" t="str">
        <f t="shared" si="4"/>
        <v>Off034</v>
      </c>
      <c r="S34">
        <v>12</v>
      </c>
      <c r="T34">
        <v>18</v>
      </c>
      <c r="U34">
        <v>41653</v>
      </c>
      <c r="V34">
        <v>41195</v>
      </c>
      <c r="W34" t="str">
        <f t="shared" si="5"/>
        <v>Yes</v>
      </c>
      <c r="X34" t="str">
        <f t="shared" si="6"/>
        <v>Level 1</v>
      </c>
      <c r="Y34" s="2">
        <f t="shared" si="7"/>
        <v>46189</v>
      </c>
    </row>
    <row r="35" spans="1:25" x14ac:dyDescent="0.25">
      <c r="A35" t="s">
        <v>109</v>
      </c>
      <c r="B35" t="s">
        <v>53</v>
      </c>
      <c r="C35" t="s">
        <v>76</v>
      </c>
      <c r="D35" t="s">
        <v>34</v>
      </c>
      <c r="E35" t="s">
        <v>23</v>
      </c>
      <c r="F35" s="1">
        <v>30</v>
      </c>
      <c r="G35" t="s">
        <v>110</v>
      </c>
      <c r="H35" t="s">
        <v>51</v>
      </c>
      <c r="I35" t="s">
        <v>65</v>
      </c>
      <c r="J35" t="s">
        <v>18</v>
      </c>
      <c r="K35" t="str">
        <f t="shared" si="0"/>
        <v>Public Transport Delay</v>
      </c>
      <c r="L35" t="s">
        <v>884</v>
      </c>
      <c r="M35" t="str">
        <f t="shared" si="1"/>
        <v>Bus arrival delay reported</v>
      </c>
      <c r="N35">
        <v>1</v>
      </c>
      <c r="O35" t="s">
        <v>18</v>
      </c>
      <c r="P35">
        <f t="shared" si="2"/>
        <v>3</v>
      </c>
      <c r="Q35" t="str">
        <f t="shared" si="3"/>
        <v>Delayed</v>
      </c>
      <c r="R35" t="str">
        <f t="shared" si="4"/>
        <v>Off035</v>
      </c>
      <c r="S35">
        <v>8</v>
      </c>
      <c r="T35">
        <v>5</v>
      </c>
      <c r="U35">
        <v>23365</v>
      </c>
      <c r="V35">
        <v>22533</v>
      </c>
      <c r="W35" t="str">
        <f t="shared" si="5"/>
        <v>Yes</v>
      </c>
      <c r="X35" t="str">
        <f t="shared" si="6"/>
        <v>Level 3</v>
      </c>
      <c r="Y35" s="2">
        <f t="shared" si="7"/>
        <v>46112</v>
      </c>
    </row>
    <row r="36" spans="1:25" x14ac:dyDescent="0.25">
      <c r="A36" t="s">
        <v>111</v>
      </c>
      <c r="B36" t="s">
        <v>69</v>
      </c>
      <c r="C36" t="s">
        <v>84</v>
      </c>
      <c r="D36" t="s">
        <v>22</v>
      </c>
      <c r="E36" t="s">
        <v>42</v>
      </c>
      <c r="F36" s="1">
        <v>3</v>
      </c>
      <c r="G36" t="s">
        <v>112</v>
      </c>
      <c r="H36" t="s">
        <v>51</v>
      </c>
      <c r="I36" t="s">
        <v>44</v>
      </c>
      <c r="J36" t="s">
        <v>37</v>
      </c>
      <c r="K36" t="str">
        <f t="shared" si="0"/>
        <v>General Complaint</v>
      </c>
      <c r="L36" t="s">
        <v>885</v>
      </c>
      <c r="M36" t="str">
        <f t="shared" si="1"/>
        <v>General complaint reported</v>
      </c>
      <c r="N36">
        <v>4</v>
      </c>
      <c r="O36" t="s">
        <v>37</v>
      </c>
      <c r="P36">
        <f t="shared" si="2"/>
        <v>7</v>
      </c>
      <c r="Q36" t="str">
        <f t="shared" si="3"/>
        <v>Within SLA</v>
      </c>
      <c r="R36" t="str">
        <f t="shared" si="4"/>
        <v>Off036</v>
      </c>
      <c r="S36">
        <v>15</v>
      </c>
      <c r="T36">
        <v>6</v>
      </c>
      <c r="U36">
        <v>2569</v>
      </c>
      <c r="V36">
        <v>853</v>
      </c>
      <c r="W36" t="str">
        <f t="shared" si="5"/>
        <v>No</v>
      </c>
      <c r="X36" t="str">
        <f t="shared" si="6"/>
        <v>None</v>
      </c>
      <c r="Y36" s="2">
        <f t="shared" si="7"/>
        <v>45801</v>
      </c>
    </row>
    <row r="37" spans="1:25" x14ac:dyDescent="0.25">
      <c r="A37" t="s">
        <v>113</v>
      </c>
      <c r="B37" t="s">
        <v>20</v>
      </c>
      <c r="C37" t="s">
        <v>76</v>
      </c>
      <c r="D37" t="s">
        <v>22</v>
      </c>
      <c r="E37" t="s">
        <v>30</v>
      </c>
      <c r="F37" s="1">
        <v>41</v>
      </c>
      <c r="G37" t="s">
        <v>114</v>
      </c>
      <c r="H37" t="s">
        <v>25</v>
      </c>
      <c r="I37" t="s">
        <v>36</v>
      </c>
      <c r="J37" t="s">
        <v>18</v>
      </c>
      <c r="K37" t="str">
        <f t="shared" si="0"/>
        <v>Garbage Collection</v>
      </c>
      <c r="L37" t="s">
        <v>881</v>
      </c>
      <c r="M37" t="str">
        <f t="shared" si="1"/>
        <v>Garbage not collected for 3 days</v>
      </c>
      <c r="N37">
        <v>1</v>
      </c>
      <c r="O37" t="s">
        <v>18</v>
      </c>
      <c r="P37">
        <f t="shared" si="2"/>
        <v>7</v>
      </c>
      <c r="Q37" t="str">
        <f t="shared" si="3"/>
        <v>Delayed</v>
      </c>
      <c r="R37" t="str">
        <f t="shared" si="4"/>
        <v>Off037</v>
      </c>
      <c r="S37">
        <v>6</v>
      </c>
      <c r="T37">
        <v>24</v>
      </c>
      <c r="U37">
        <v>15493</v>
      </c>
      <c r="V37">
        <v>16862</v>
      </c>
      <c r="W37" t="str">
        <f t="shared" si="5"/>
        <v>Yes</v>
      </c>
      <c r="X37" t="str">
        <f t="shared" si="6"/>
        <v>Level 2</v>
      </c>
      <c r="Y37" s="2">
        <f t="shared" si="7"/>
        <v>46083</v>
      </c>
    </row>
    <row r="38" spans="1:25" x14ac:dyDescent="0.25">
      <c r="A38" t="s">
        <v>115</v>
      </c>
      <c r="B38" t="s">
        <v>69</v>
      </c>
      <c r="C38" t="s">
        <v>49</v>
      </c>
      <c r="D38" t="s">
        <v>34</v>
      </c>
      <c r="E38" t="s">
        <v>23</v>
      </c>
      <c r="F38" s="1">
        <v>26</v>
      </c>
      <c r="G38" t="s">
        <v>116</v>
      </c>
      <c r="H38" t="s">
        <v>25</v>
      </c>
      <c r="I38" t="s">
        <v>44</v>
      </c>
      <c r="J38" t="s">
        <v>18</v>
      </c>
      <c r="K38" t="str">
        <f t="shared" si="0"/>
        <v>General Complaint</v>
      </c>
      <c r="L38" t="s">
        <v>882</v>
      </c>
      <c r="M38" t="str">
        <f t="shared" si="1"/>
        <v>General complaint reported</v>
      </c>
      <c r="N38">
        <v>4</v>
      </c>
      <c r="O38" t="s">
        <v>37</v>
      </c>
      <c r="P38">
        <f t="shared" si="2"/>
        <v>3</v>
      </c>
      <c r="Q38" t="str">
        <f t="shared" si="3"/>
        <v>Delayed</v>
      </c>
      <c r="R38" t="str">
        <f t="shared" si="4"/>
        <v>Off038</v>
      </c>
      <c r="S38">
        <v>1</v>
      </c>
      <c r="T38">
        <v>35</v>
      </c>
      <c r="U38">
        <v>7122</v>
      </c>
      <c r="V38">
        <v>8321</v>
      </c>
      <c r="W38" t="str">
        <f t="shared" si="5"/>
        <v>Yes</v>
      </c>
      <c r="X38" t="str">
        <f t="shared" si="6"/>
        <v>Level 3</v>
      </c>
      <c r="Y38" s="2">
        <f t="shared" si="7"/>
        <v>45777</v>
      </c>
    </row>
    <row r="39" spans="1:25" x14ac:dyDescent="0.25">
      <c r="A39" t="s">
        <v>117</v>
      </c>
      <c r="B39" t="s">
        <v>28</v>
      </c>
      <c r="C39" t="s">
        <v>33</v>
      </c>
      <c r="D39" t="s">
        <v>13</v>
      </c>
      <c r="E39" t="s">
        <v>14</v>
      </c>
      <c r="F39" s="1">
        <v>11</v>
      </c>
      <c r="G39" t="s">
        <v>118</v>
      </c>
      <c r="H39" t="s">
        <v>47</v>
      </c>
      <c r="I39" t="s">
        <v>26</v>
      </c>
      <c r="J39" t="s">
        <v>18</v>
      </c>
      <c r="K39" t="str">
        <f t="shared" si="0"/>
        <v>Road Damage</v>
      </c>
      <c r="L39" t="s">
        <v>883</v>
      </c>
      <c r="M39" t="str">
        <f t="shared" si="1"/>
        <v>Road damaged due to heavy rain</v>
      </c>
      <c r="N39">
        <v>4</v>
      </c>
      <c r="O39" t="s">
        <v>37</v>
      </c>
      <c r="P39">
        <f t="shared" si="2"/>
        <v>15</v>
      </c>
      <c r="Q39" t="str">
        <f t="shared" si="3"/>
        <v>Within SLA</v>
      </c>
      <c r="R39" t="str">
        <f t="shared" si="4"/>
        <v>Off039</v>
      </c>
      <c r="S39">
        <v>8</v>
      </c>
      <c r="T39">
        <v>9</v>
      </c>
      <c r="U39">
        <v>36055</v>
      </c>
      <c r="V39">
        <v>37820</v>
      </c>
      <c r="W39" t="str">
        <f t="shared" si="5"/>
        <v>No</v>
      </c>
      <c r="X39" t="str">
        <f t="shared" si="6"/>
        <v>None</v>
      </c>
      <c r="Y39" s="2">
        <f t="shared" si="7"/>
        <v>46158</v>
      </c>
    </row>
    <row r="40" spans="1:25" x14ac:dyDescent="0.25">
      <c r="A40" t="s">
        <v>119</v>
      </c>
      <c r="B40" t="s">
        <v>53</v>
      </c>
      <c r="C40" t="s">
        <v>56</v>
      </c>
      <c r="D40" t="s">
        <v>13</v>
      </c>
      <c r="E40" t="s">
        <v>14</v>
      </c>
      <c r="F40" s="1">
        <v>35</v>
      </c>
      <c r="G40" t="s">
        <v>120</v>
      </c>
      <c r="H40" t="s">
        <v>47</v>
      </c>
      <c r="I40" t="s">
        <v>44</v>
      </c>
      <c r="J40" t="s">
        <v>18</v>
      </c>
      <c r="K40" t="str">
        <f t="shared" si="0"/>
        <v>Public Transport Delay</v>
      </c>
      <c r="L40" t="s">
        <v>884</v>
      </c>
      <c r="M40" t="str">
        <f t="shared" si="1"/>
        <v>Bus arrival delay reported</v>
      </c>
      <c r="N40">
        <v>5</v>
      </c>
      <c r="O40" t="s">
        <v>37</v>
      </c>
      <c r="P40">
        <f t="shared" si="2"/>
        <v>15</v>
      </c>
      <c r="Q40" t="str">
        <f t="shared" si="3"/>
        <v>Delayed</v>
      </c>
      <c r="R40" t="str">
        <f t="shared" si="4"/>
        <v>Off040</v>
      </c>
      <c r="S40">
        <v>2</v>
      </c>
      <c r="T40">
        <v>6</v>
      </c>
      <c r="U40">
        <v>11047</v>
      </c>
      <c r="V40">
        <v>9795</v>
      </c>
      <c r="W40" t="str">
        <f t="shared" si="5"/>
        <v>Yes</v>
      </c>
      <c r="X40" t="str">
        <f t="shared" si="6"/>
        <v>Level 1</v>
      </c>
      <c r="Y40" s="2">
        <f t="shared" si="7"/>
        <v>45734</v>
      </c>
    </row>
    <row r="41" spans="1:25" x14ac:dyDescent="0.25">
      <c r="A41" t="s">
        <v>121</v>
      </c>
      <c r="B41" t="s">
        <v>53</v>
      </c>
      <c r="C41" t="s">
        <v>39</v>
      </c>
      <c r="D41" t="s">
        <v>22</v>
      </c>
      <c r="E41" t="s">
        <v>30</v>
      </c>
      <c r="F41" s="1">
        <v>27</v>
      </c>
      <c r="G41" t="s">
        <v>122</v>
      </c>
      <c r="H41" t="s">
        <v>25</v>
      </c>
      <c r="I41" t="s">
        <v>17</v>
      </c>
      <c r="J41" t="s">
        <v>18</v>
      </c>
      <c r="K41" t="str">
        <f t="shared" si="0"/>
        <v>Public Transport Delay</v>
      </c>
      <c r="L41" t="s">
        <v>885</v>
      </c>
      <c r="M41" t="str">
        <f t="shared" si="1"/>
        <v>Bus arrival delay reported</v>
      </c>
      <c r="N41">
        <v>3</v>
      </c>
      <c r="O41" t="s">
        <v>37</v>
      </c>
      <c r="P41">
        <f t="shared" si="2"/>
        <v>7</v>
      </c>
      <c r="Q41" t="str">
        <f t="shared" si="3"/>
        <v>Delayed</v>
      </c>
      <c r="R41" t="str">
        <f t="shared" si="4"/>
        <v>Off041</v>
      </c>
      <c r="S41">
        <v>9</v>
      </c>
      <c r="T41">
        <v>48</v>
      </c>
      <c r="U41">
        <v>31470</v>
      </c>
      <c r="V41">
        <v>32598</v>
      </c>
      <c r="W41" t="str">
        <f t="shared" si="5"/>
        <v>Yes</v>
      </c>
      <c r="X41" t="str">
        <f t="shared" si="6"/>
        <v>Level 2</v>
      </c>
      <c r="Y41" s="2">
        <f t="shared" si="7"/>
        <v>45727</v>
      </c>
    </row>
    <row r="42" spans="1:25" x14ac:dyDescent="0.25">
      <c r="A42" t="s">
        <v>123</v>
      </c>
      <c r="B42" t="s">
        <v>60</v>
      </c>
      <c r="C42" t="s">
        <v>12</v>
      </c>
      <c r="D42" t="s">
        <v>34</v>
      </c>
      <c r="E42" t="s">
        <v>42</v>
      </c>
      <c r="F42" s="1">
        <v>3</v>
      </c>
      <c r="G42" t="s">
        <v>124</v>
      </c>
      <c r="H42" t="s">
        <v>58</v>
      </c>
      <c r="I42" t="s">
        <v>17</v>
      </c>
      <c r="J42" t="s">
        <v>37</v>
      </c>
      <c r="K42" t="str">
        <f t="shared" si="0"/>
        <v>General Complaint</v>
      </c>
      <c r="L42" t="s">
        <v>881</v>
      </c>
      <c r="M42" t="str">
        <f t="shared" si="1"/>
        <v>General complaint reported</v>
      </c>
      <c r="N42">
        <v>4</v>
      </c>
      <c r="O42" t="s">
        <v>37</v>
      </c>
      <c r="P42">
        <f t="shared" si="2"/>
        <v>3</v>
      </c>
      <c r="Q42" t="str">
        <f t="shared" si="3"/>
        <v>Within SLA</v>
      </c>
      <c r="R42" t="str">
        <f t="shared" si="4"/>
        <v>Off042</v>
      </c>
      <c r="S42">
        <v>5</v>
      </c>
      <c r="T42">
        <v>7</v>
      </c>
      <c r="U42">
        <v>16762</v>
      </c>
      <c r="V42">
        <v>17760</v>
      </c>
      <c r="W42" t="str">
        <f t="shared" si="5"/>
        <v>No</v>
      </c>
      <c r="X42" t="str">
        <f t="shared" si="6"/>
        <v>None</v>
      </c>
      <c r="Y42" s="2">
        <f t="shared" si="7"/>
        <v>45720</v>
      </c>
    </row>
    <row r="43" spans="1:25" x14ac:dyDescent="0.25">
      <c r="A43" t="s">
        <v>125</v>
      </c>
      <c r="B43" t="s">
        <v>20</v>
      </c>
      <c r="C43" t="s">
        <v>61</v>
      </c>
      <c r="D43" t="s">
        <v>34</v>
      </c>
      <c r="E43" t="s">
        <v>14</v>
      </c>
      <c r="F43" s="1">
        <v>35</v>
      </c>
      <c r="G43" t="s">
        <v>126</v>
      </c>
      <c r="H43" t="s">
        <v>25</v>
      </c>
      <c r="I43" t="s">
        <v>36</v>
      </c>
      <c r="J43" t="s">
        <v>18</v>
      </c>
      <c r="K43" t="str">
        <f t="shared" si="0"/>
        <v>Garbage Collection</v>
      </c>
      <c r="L43" t="s">
        <v>882</v>
      </c>
      <c r="M43" t="str">
        <f t="shared" si="1"/>
        <v>Garbage not collected for 3 days</v>
      </c>
      <c r="N43">
        <v>2</v>
      </c>
      <c r="O43" t="s">
        <v>18</v>
      </c>
      <c r="P43">
        <f t="shared" si="2"/>
        <v>3</v>
      </c>
      <c r="Q43" t="str">
        <f t="shared" si="3"/>
        <v>Delayed</v>
      </c>
      <c r="R43" t="str">
        <f t="shared" si="4"/>
        <v>Off043</v>
      </c>
      <c r="S43">
        <v>6</v>
      </c>
      <c r="T43">
        <v>41</v>
      </c>
      <c r="U43">
        <v>46424</v>
      </c>
      <c r="V43">
        <v>45403</v>
      </c>
      <c r="W43" t="str">
        <f t="shared" si="5"/>
        <v>Yes</v>
      </c>
      <c r="X43" t="str">
        <f t="shared" si="6"/>
        <v>Level 3</v>
      </c>
      <c r="Y43" s="2">
        <f t="shared" si="7"/>
        <v>46190</v>
      </c>
    </row>
    <row r="44" spans="1:25" x14ac:dyDescent="0.25">
      <c r="A44" t="s">
        <v>127</v>
      </c>
      <c r="B44" t="s">
        <v>53</v>
      </c>
      <c r="C44" t="s">
        <v>61</v>
      </c>
      <c r="D44" t="s">
        <v>22</v>
      </c>
      <c r="E44" t="s">
        <v>42</v>
      </c>
      <c r="F44" s="1">
        <v>1</v>
      </c>
      <c r="G44" t="s">
        <v>128</v>
      </c>
      <c r="H44" t="s">
        <v>40</v>
      </c>
      <c r="I44" t="s">
        <v>17</v>
      </c>
      <c r="J44" t="s">
        <v>37</v>
      </c>
      <c r="K44" t="str">
        <f t="shared" si="0"/>
        <v>Public Transport Delay</v>
      </c>
      <c r="L44" t="s">
        <v>883</v>
      </c>
      <c r="M44" t="str">
        <f t="shared" si="1"/>
        <v>Bus arrival delay reported</v>
      </c>
      <c r="N44">
        <v>2</v>
      </c>
      <c r="O44" t="s">
        <v>18</v>
      </c>
      <c r="P44">
        <f t="shared" si="2"/>
        <v>7</v>
      </c>
      <c r="Q44" t="str">
        <f t="shared" si="3"/>
        <v>Within SLA</v>
      </c>
      <c r="R44" t="str">
        <f t="shared" si="4"/>
        <v>Off044</v>
      </c>
      <c r="S44">
        <v>13</v>
      </c>
      <c r="T44">
        <v>21</v>
      </c>
      <c r="U44">
        <v>45474</v>
      </c>
      <c r="V44">
        <v>45330</v>
      </c>
      <c r="W44" t="str">
        <f t="shared" si="5"/>
        <v>No</v>
      </c>
      <c r="X44" t="str">
        <f t="shared" si="6"/>
        <v>None</v>
      </c>
      <c r="Y44" s="2">
        <f t="shared" si="7"/>
        <v>45692</v>
      </c>
    </row>
    <row r="45" spans="1:25" x14ac:dyDescent="0.25">
      <c r="A45" t="s">
        <v>129</v>
      </c>
      <c r="B45" t="s">
        <v>11</v>
      </c>
      <c r="C45" t="s">
        <v>33</v>
      </c>
      <c r="D45" t="s">
        <v>34</v>
      </c>
      <c r="E45" t="s">
        <v>42</v>
      </c>
      <c r="F45" s="1">
        <v>19</v>
      </c>
      <c r="G45" t="s">
        <v>130</v>
      </c>
      <c r="H45" t="s">
        <v>58</v>
      </c>
      <c r="I45" t="s">
        <v>17</v>
      </c>
      <c r="J45" t="s">
        <v>18</v>
      </c>
      <c r="K45" t="str">
        <f t="shared" si="0"/>
        <v>Water Leakage</v>
      </c>
      <c r="L45" t="s">
        <v>884</v>
      </c>
      <c r="M45" t="str">
        <f t="shared" si="1"/>
        <v>Water pipe leakage near school</v>
      </c>
      <c r="N45">
        <v>1</v>
      </c>
      <c r="O45" t="s">
        <v>18</v>
      </c>
      <c r="P45">
        <f t="shared" si="2"/>
        <v>3</v>
      </c>
      <c r="Q45" t="str">
        <f t="shared" si="3"/>
        <v>Delayed</v>
      </c>
      <c r="R45" t="str">
        <f t="shared" si="4"/>
        <v>Off045</v>
      </c>
      <c r="S45">
        <v>4</v>
      </c>
      <c r="T45">
        <v>35</v>
      </c>
      <c r="U45">
        <v>10186</v>
      </c>
      <c r="V45">
        <v>9267</v>
      </c>
      <c r="W45" t="str">
        <f t="shared" si="5"/>
        <v>Yes</v>
      </c>
      <c r="X45" t="str">
        <f t="shared" si="6"/>
        <v>Level 3</v>
      </c>
      <c r="Y45" s="2">
        <f t="shared" si="7"/>
        <v>45913</v>
      </c>
    </row>
    <row r="46" spans="1:25" x14ac:dyDescent="0.25">
      <c r="A46" t="s">
        <v>131</v>
      </c>
      <c r="B46" t="s">
        <v>53</v>
      </c>
      <c r="C46" t="s">
        <v>12</v>
      </c>
      <c r="D46" t="s">
        <v>22</v>
      </c>
      <c r="E46" t="s">
        <v>23</v>
      </c>
      <c r="F46" s="1">
        <v>11</v>
      </c>
      <c r="G46" t="s">
        <v>132</v>
      </c>
      <c r="H46" t="s">
        <v>47</v>
      </c>
      <c r="I46" t="s">
        <v>36</v>
      </c>
      <c r="J46" t="s">
        <v>18</v>
      </c>
      <c r="K46" t="str">
        <f t="shared" si="0"/>
        <v>Public Transport Delay</v>
      </c>
      <c r="L46" t="s">
        <v>885</v>
      </c>
      <c r="M46" t="str">
        <f t="shared" si="1"/>
        <v>Bus arrival delay reported</v>
      </c>
      <c r="N46">
        <v>3</v>
      </c>
      <c r="O46" t="s">
        <v>37</v>
      </c>
      <c r="P46">
        <f t="shared" si="2"/>
        <v>7</v>
      </c>
      <c r="Q46" t="str">
        <f t="shared" si="3"/>
        <v>Delayed</v>
      </c>
      <c r="R46" t="str">
        <f t="shared" si="4"/>
        <v>Off046</v>
      </c>
      <c r="S46">
        <v>2</v>
      </c>
      <c r="T46">
        <v>49</v>
      </c>
      <c r="U46">
        <v>21487</v>
      </c>
      <c r="V46">
        <v>23119</v>
      </c>
      <c r="W46" t="str">
        <f t="shared" si="5"/>
        <v>Yes</v>
      </c>
      <c r="X46" t="str">
        <f t="shared" si="6"/>
        <v>Level 2</v>
      </c>
      <c r="Y46" s="2">
        <f t="shared" si="7"/>
        <v>45884</v>
      </c>
    </row>
    <row r="47" spans="1:25" x14ac:dyDescent="0.25">
      <c r="A47" t="s">
        <v>133</v>
      </c>
      <c r="B47" t="s">
        <v>11</v>
      </c>
      <c r="C47" t="s">
        <v>29</v>
      </c>
      <c r="D47" t="s">
        <v>22</v>
      </c>
      <c r="E47" t="s">
        <v>30</v>
      </c>
      <c r="F47" s="1">
        <v>21</v>
      </c>
      <c r="G47" t="s">
        <v>134</v>
      </c>
      <c r="H47" t="s">
        <v>58</v>
      </c>
      <c r="I47" t="s">
        <v>44</v>
      </c>
      <c r="J47" t="s">
        <v>18</v>
      </c>
      <c r="K47" t="str">
        <f t="shared" si="0"/>
        <v>Water Leakage</v>
      </c>
      <c r="L47" t="s">
        <v>881</v>
      </c>
      <c r="M47" t="str">
        <f t="shared" si="1"/>
        <v>Water pipe leakage near school</v>
      </c>
      <c r="N47">
        <v>3</v>
      </c>
      <c r="O47" t="s">
        <v>37</v>
      </c>
      <c r="P47">
        <f t="shared" si="2"/>
        <v>7</v>
      </c>
      <c r="Q47" t="str">
        <f t="shared" si="3"/>
        <v>Delayed</v>
      </c>
      <c r="R47" t="str">
        <f t="shared" si="4"/>
        <v>Off047</v>
      </c>
      <c r="S47">
        <v>7</v>
      </c>
      <c r="T47">
        <v>45</v>
      </c>
      <c r="U47">
        <v>15142</v>
      </c>
      <c r="V47">
        <v>16457</v>
      </c>
      <c r="W47" t="str">
        <f t="shared" si="5"/>
        <v>Yes</v>
      </c>
      <c r="X47" t="str">
        <f t="shared" si="6"/>
        <v>Level 2</v>
      </c>
      <c r="Y47" s="2">
        <f t="shared" si="7"/>
        <v>45858</v>
      </c>
    </row>
    <row r="48" spans="1:25" x14ac:dyDescent="0.25">
      <c r="A48" t="s">
        <v>135</v>
      </c>
      <c r="B48" t="s">
        <v>69</v>
      </c>
      <c r="C48" t="s">
        <v>84</v>
      </c>
      <c r="D48" t="s">
        <v>34</v>
      </c>
      <c r="E48" t="s">
        <v>30</v>
      </c>
      <c r="F48" s="1">
        <v>20</v>
      </c>
      <c r="G48" t="s">
        <v>136</v>
      </c>
      <c r="H48" t="s">
        <v>47</v>
      </c>
      <c r="I48" t="s">
        <v>26</v>
      </c>
      <c r="J48" t="s">
        <v>18</v>
      </c>
      <c r="K48" t="str">
        <f t="shared" si="0"/>
        <v>General Complaint</v>
      </c>
      <c r="L48" t="s">
        <v>882</v>
      </c>
      <c r="M48" t="str">
        <f t="shared" si="1"/>
        <v>General complaint reported</v>
      </c>
      <c r="N48">
        <v>2</v>
      </c>
      <c r="O48" t="s">
        <v>18</v>
      </c>
      <c r="P48">
        <f t="shared" si="2"/>
        <v>3</v>
      </c>
      <c r="Q48" t="str">
        <f t="shared" si="3"/>
        <v>Delayed</v>
      </c>
      <c r="R48" t="str">
        <f t="shared" si="4"/>
        <v>Off048</v>
      </c>
      <c r="S48">
        <v>2</v>
      </c>
      <c r="T48">
        <v>22</v>
      </c>
      <c r="U48">
        <v>30095</v>
      </c>
      <c r="V48">
        <v>31873</v>
      </c>
      <c r="W48" t="str">
        <f t="shared" si="5"/>
        <v>Yes</v>
      </c>
      <c r="X48" t="str">
        <f t="shared" si="6"/>
        <v>Level 3</v>
      </c>
      <c r="Y48" s="2">
        <f t="shared" si="7"/>
        <v>45941</v>
      </c>
    </row>
    <row r="49" spans="1:25" x14ac:dyDescent="0.25">
      <c r="A49" t="s">
        <v>137</v>
      </c>
      <c r="B49" t="s">
        <v>60</v>
      </c>
      <c r="C49" t="s">
        <v>84</v>
      </c>
      <c r="D49" t="s">
        <v>22</v>
      </c>
      <c r="E49" t="s">
        <v>14</v>
      </c>
      <c r="F49" s="1">
        <v>24</v>
      </c>
      <c r="G49" t="s">
        <v>138</v>
      </c>
      <c r="H49" t="s">
        <v>51</v>
      </c>
      <c r="I49" t="s">
        <v>65</v>
      </c>
      <c r="J49" t="s">
        <v>18</v>
      </c>
      <c r="K49" t="str">
        <f t="shared" si="0"/>
        <v>General Complaint</v>
      </c>
      <c r="L49" t="s">
        <v>883</v>
      </c>
      <c r="M49" t="str">
        <f t="shared" si="1"/>
        <v>General complaint reported</v>
      </c>
      <c r="N49">
        <v>4</v>
      </c>
      <c r="O49" t="s">
        <v>37</v>
      </c>
      <c r="P49">
        <f t="shared" si="2"/>
        <v>7</v>
      </c>
      <c r="Q49" t="str">
        <f t="shared" si="3"/>
        <v>Delayed</v>
      </c>
      <c r="R49" t="str">
        <f t="shared" si="4"/>
        <v>Off049</v>
      </c>
      <c r="S49">
        <v>9</v>
      </c>
      <c r="T49">
        <v>6</v>
      </c>
      <c r="U49">
        <v>35513</v>
      </c>
      <c r="V49">
        <v>37320</v>
      </c>
      <c r="W49" t="str">
        <f t="shared" si="5"/>
        <v>Yes</v>
      </c>
      <c r="X49" t="str">
        <f t="shared" si="6"/>
        <v>Level 2</v>
      </c>
      <c r="Y49" s="2">
        <f t="shared" si="7"/>
        <v>45730</v>
      </c>
    </row>
    <row r="50" spans="1:25" x14ac:dyDescent="0.25">
      <c r="A50" t="s">
        <v>139</v>
      </c>
      <c r="B50" t="s">
        <v>53</v>
      </c>
      <c r="C50" t="s">
        <v>12</v>
      </c>
      <c r="D50" t="s">
        <v>22</v>
      </c>
      <c r="E50" t="s">
        <v>42</v>
      </c>
      <c r="F50" s="1">
        <v>23</v>
      </c>
      <c r="G50" t="s">
        <v>140</v>
      </c>
      <c r="H50" t="s">
        <v>58</v>
      </c>
      <c r="I50" t="s">
        <v>26</v>
      </c>
      <c r="J50" t="s">
        <v>18</v>
      </c>
      <c r="K50" t="str">
        <f t="shared" si="0"/>
        <v>Public Transport Delay</v>
      </c>
      <c r="L50" t="s">
        <v>884</v>
      </c>
      <c r="M50" t="str">
        <f t="shared" si="1"/>
        <v>Bus arrival delay reported</v>
      </c>
      <c r="N50">
        <v>2</v>
      </c>
      <c r="O50" t="s">
        <v>18</v>
      </c>
      <c r="P50">
        <f t="shared" si="2"/>
        <v>7</v>
      </c>
      <c r="Q50" t="str">
        <f t="shared" si="3"/>
        <v>Delayed</v>
      </c>
      <c r="R50" t="str">
        <f t="shared" si="4"/>
        <v>Off050</v>
      </c>
      <c r="S50">
        <v>3</v>
      </c>
      <c r="T50">
        <v>28</v>
      </c>
      <c r="U50">
        <v>19578</v>
      </c>
      <c r="V50">
        <v>20276</v>
      </c>
      <c r="W50" t="str">
        <f t="shared" si="5"/>
        <v>Yes</v>
      </c>
      <c r="X50" t="str">
        <f t="shared" si="6"/>
        <v>Level 2</v>
      </c>
      <c r="Y50" s="2">
        <f t="shared" si="7"/>
        <v>45691</v>
      </c>
    </row>
    <row r="51" spans="1:25" x14ac:dyDescent="0.25">
      <c r="A51" t="s">
        <v>141</v>
      </c>
      <c r="B51" t="s">
        <v>69</v>
      </c>
      <c r="C51" t="s">
        <v>84</v>
      </c>
      <c r="D51" t="s">
        <v>13</v>
      </c>
      <c r="E51" t="s">
        <v>42</v>
      </c>
      <c r="F51" s="1">
        <v>15</v>
      </c>
      <c r="G51" t="s">
        <v>142</v>
      </c>
      <c r="H51" t="s">
        <v>58</v>
      </c>
      <c r="I51" t="s">
        <v>36</v>
      </c>
      <c r="J51" t="s">
        <v>18</v>
      </c>
      <c r="K51" t="str">
        <f t="shared" si="0"/>
        <v>General Complaint</v>
      </c>
      <c r="L51" t="s">
        <v>885</v>
      </c>
      <c r="M51" t="str">
        <f t="shared" si="1"/>
        <v>General complaint reported</v>
      </c>
      <c r="N51">
        <v>1</v>
      </c>
      <c r="O51" t="s">
        <v>18</v>
      </c>
      <c r="P51">
        <f t="shared" si="2"/>
        <v>15</v>
      </c>
      <c r="Q51" t="str">
        <f t="shared" si="3"/>
        <v>Within SLA</v>
      </c>
      <c r="R51" t="str">
        <f t="shared" si="4"/>
        <v>Off051</v>
      </c>
      <c r="S51">
        <v>12</v>
      </c>
      <c r="T51">
        <v>50</v>
      </c>
      <c r="U51">
        <v>1877</v>
      </c>
      <c r="V51">
        <v>2447</v>
      </c>
      <c r="W51" t="str">
        <f t="shared" si="5"/>
        <v>No</v>
      </c>
      <c r="X51" t="str">
        <f t="shared" si="6"/>
        <v>None</v>
      </c>
      <c r="Y51" s="2">
        <f t="shared" si="7"/>
        <v>45754</v>
      </c>
    </row>
    <row r="52" spans="1:25" x14ac:dyDescent="0.25">
      <c r="A52" t="s">
        <v>143</v>
      </c>
      <c r="B52" t="s">
        <v>11</v>
      </c>
      <c r="C52" t="s">
        <v>84</v>
      </c>
      <c r="D52" t="s">
        <v>22</v>
      </c>
      <c r="E52" t="s">
        <v>23</v>
      </c>
      <c r="F52" s="1">
        <v>16</v>
      </c>
      <c r="G52" t="s">
        <v>144</v>
      </c>
      <c r="H52" t="s">
        <v>47</v>
      </c>
      <c r="I52" t="s">
        <v>65</v>
      </c>
      <c r="J52" t="s">
        <v>18</v>
      </c>
      <c r="K52" t="str">
        <f t="shared" si="0"/>
        <v>Water Leakage</v>
      </c>
      <c r="L52" t="s">
        <v>881</v>
      </c>
      <c r="M52" t="str">
        <f t="shared" si="1"/>
        <v>Water pipe leakage near school</v>
      </c>
      <c r="N52">
        <v>5</v>
      </c>
      <c r="O52" t="s">
        <v>37</v>
      </c>
      <c r="P52">
        <f t="shared" si="2"/>
        <v>7</v>
      </c>
      <c r="Q52" t="str">
        <f t="shared" si="3"/>
        <v>Delayed</v>
      </c>
      <c r="R52" t="str">
        <f t="shared" si="4"/>
        <v>Off052</v>
      </c>
      <c r="S52">
        <v>13</v>
      </c>
      <c r="T52">
        <v>20</v>
      </c>
      <c r="U52">
        <v>39310</v>
      </c>
      <c r="V52">
        <v>40250</v>
      </c>
      <c r="W52" t="str">
        <f t="shared" si="5"/>
        <v>Yes</v>
      </c>
      <c r="X52" t="str">
        <f t="shared" si="6"/>
        <v>Level 2</v>
      </c>
      <c r="Y52" s="2">
        <f t="shared" si="7"/>
        <v>46162</v>
      </c>
    </row>
    <row r="53" spans="1:25" x14ac:dyDescent="0.25">
      <c r="A53" t="s">
        <v>145</v>
      </c>
      <c r="B53" t="s">
        <v>69</v>
      </c>
      <c r="C53" t="s">
        <v>39</v>
      </c>
      <c r="D53" t="s">
        <v>13</v>
      </c>
      <c r="E53" t="s">
        <v>42</v>
      </c>
      <c r="F53" s="1">
        <v>28</v>
      </c>
      <c r="G53" t="s">
        <v>146</v>
      </c>
      <c r="H53" t="s">
        <v>40</v>
      </c>
      <c r="I53" t="s">
        <v>36</v>
      </c>
      <c r="J53" t="s">
        <v>18</v>
      </c>
      <c r="K53" t="str">
        <f t="shared" si="0"/>
        <v>General Complaint</v>
      </c>
      <c r="L53" t="s">
        <v>882</v>
      </c>
      <c r="M53" t="str">
        <f t="shared" si="1"/>
        <v>General complaint reported</v>
      </c>
      <c r="N53">
        <v>1</v>
      </c>
      <c r="O53" t="s">
        <v>18</v>
      </c>
      <c r="P53">
        <f t="shared" si="2"/>
        <v>15</v>
      </c>
      <c r="Q53" t="str">
        <f t="shared" si="3"/>
        <v>Delayed</v>
      </c>
      <c r="R53" t="str">
        <f t="shared" si="4"/>
        <v>Off053</v>
      </c>
      <c r="S53">
        <v>14</v>
      </c>
      <c r="T53">
        <v>39</v>
      </c>
      <c r="U53">
        <v>33897</v>
      </c>
      <c r="V53">
        <v>35027</v>
      </c>
      <c r="W53" t="str">
        <f t="shared" si="5"/>
        <v>Yes</v>
      </c>
      <c r="X53" t="str">
        <f t="shared" si="6"/>
        <v>Level 1</v>
      </c>
      <c r="Y53" s="2">
        <f t="shared" si="7"/>
        <v>45739</v>
      </c>
    </row>
    <row r="54" spans="1:25" x14ac:dyDescent="0.25">
      <c r="A54" t="s">
        <v>147</v>
      </c>
      <c r="B54" t="s">
        <v>28</v>
      </c>
      <c r="C54" t="s">
        <v>33</v>
      </c>
      <c r="D54" t="s">
        <v>13</v>
      </c>
      <c r="E54" t="s">
        <v>14</v>
      </c>
      <c r="F54" s="1">
        <v>8</v>
      </c>
      <c r="G54" t="s">
        <v>148</v>
      </c>
      <c r="H54" t="s">
        <v>51</v>
      </c>
      <c r="I54" t="s">
        <v>17</v>
      </c>
      <c r="J54" t="s">
        <v>18</v>
      </c>
      <c r="K54" t="str">
        <f t="shared" si="0"/>
        <v>Road Damage</v>
      </c>
      <c r="L54" t="s">
        <v>883</v>
      </c>
      <c r="M54" t="str">
        <f t="shared" si="1"/>
        <v>Road damaged due to heavy rain</v>
      </c>
      <c r="N54">
        <v>4</v>
      </c>
      <c r="O54" t="s">
        <v>37</v>
      </c>
      <c r="P54">
        <f t="shared" si="2"/>
        <v>15</v>
      </c>
      <c r="Q54" t="str">
        <f t="shared" si="3"/>
        <v>Within SLA</v>
      </c>
      <c r="R54" t="str">
        <f t="shared" si="4"/>
        <v>Off054</v>
      </c>
      <c r="S54">
        <v>3</v>
      </c>
      <c r="T54">
        <v>13</v>
      </c>
      <c r="U54">
        <v>27492</v>
      </c>
      <c r="V54">
        <v>26974</v>
      </c>
      <c r="W54" t="str">
        <f t="shared" si="5"/>
        <v>No</v>
      </c>
      <c r="X54" t="str">
        <f t="shared" si="6"/>
        <v>None</v>
      </c>
      <c r="Y54" s="2">
        <f t="shared" si="7"/>
        <v>45916</v>
      </c>
    </row>
    <row r="55" spans="1:25" x14ac:dyDescent="0.25">
      <c r="A55" t="s">
        <v>149</v>
      </c>
      <c r="B55" t="s">
        <v>69</v>
      </c>
      <c r="C55" t="s">
        <v>29</v>
      </c>
      <c r="D55" t="s">
        <v>22</v>
      </c>
      <c r="E55" t="s">
        <v>42</v>
      </c>
      <c r="F55" s="1">
        <v>19</v>
      </c>
      <c r="G55" t="s">
        <v>150</v>
      </c>
      <c r="H55" t="s">
        <v>47</v>
      </c>
      <c r="I55" t="s">
        <v>65</v>
      </c>
      <c r="J55" t="s">
        <v>18</v>
      </c>
      <c r="K55" t="str">
        <f t="shared" si="0"/>
        <v>General Complaint</v>
      </c>
      <c r="L55" t="s">
        <v>884</v>
      </c>
      <c r="M55" t="str">
        <f t="shared" si="1"/>
        <v>General complaint reported</v>
      </c>
      <c r="N55">
        <v>3</v>
      </c>
      <c r="O55" t="s">
        <v>37</v>
      </c>
      <c r="P55">
        <f t="shared" si="2"/>
        <v>7</v>
      </c>
      <c r="Q55" t="str">
        <f t="shared" si="3"/>
        <v>Delayed</v>
      </c>
      <c r="R55" t="str">
        <f t="shared" si="4"/>
        <v>Off055</v>
      </c>
      <c r="S55">
        <v>13</v>
      </c>
      <c r="T55">
        <v>31</v>
      </c>
      <c r="U55">
        <v>29579</v>
      </c>
      <c r="V55">
        <v>28033</v>
      </c>
      <c r="W55" t="str">
        <f t="shared" si="5"/>
        <v>Yes</v>
      </c>
      <c r="X55" t="str">
        <f t="shared" si="6"/>
        <v>Level 2</v>
      </c>
      <c r="Y55" s="2">
        <f t="shared" si="7"/>
        <v>45920</v>
      </c>
    </row>
    <row r="56" spans="1:25" x14ac:dyDescent="0.25">
      <c r="A56" t="s">
        <v>151</v>
      </c>
      <c r="B56" t="s">
        <v>28</v>
      </c>
      <c r="C56" t="s">
        <v>12</v>
      </c>
      <c r="D56" t="s">
        <v>34</v>
      </c>
      <c r="E56" t="s">
        <v>23</v>
      </c>
      <c r="F56" s="1">
        <v>23</v>
      </c>
      <c r="G56" t="s">
        <v>152</v>
      </c>
      <c r="H56" t="s">
        <v>16</v>
      </c>
      <c r="I56" t="s">
        <v>17</v>
      </c>
      <c r="J56" t="s">
        <v>18</v>
      </c>
      <c r="K56" t="str">
        <f t="shared" si="0"/>
        <v>Road Damage</v>
      </c>
      <c r="L56" t="s">
        <v>885</v>
      </c>
      <c r="M56" t="str">
        <f t="shared" si="1"/>
        <v>Road damaged due to heavy rain</v>
      </c>
      <c r="N56">
        <v>3</v>
      </c>
      <c r="O56" t="s">
        <v>37</v>
      </c>
      <c r="P56">
        <f t="shared" si="2"/>
        <v>3</v>
      </c>
      <c r="Q56" t="str">
        <f t="shared" si="3"/>
        <v>Delayed</v>
      </c>
      <c r="R56" t="str">
        <f t="shared" si="4"/>
        <v>Off056</v>
      </c>
      <c r="S56">
        <v>13</v>
      </c>
      <c r="T56">
        <v>49</v>
      </c>
      <c r="U56">
        <v>37609</v>
      </c>
      <c r="V56">
        <v>38264</v>
      </c>
      <c r="W56" t="str">
        <f t="shared" si="5"/>
        <v>Yes</v>
      </c>
      <c r="X56" t="str">
        <f t="shared" si="6"/>
        <v>Level 3</v>
      </c>
      <c r="Y56" s="2">
        <f t="shared" si="7"/>
        <v>45719</v>
      </c>
    </row>
    <row r="57" spans="1:25" x14ac:dyDescent="0.25">
      <c r="A57" t="s">
        <v>153</v>
      </c>
      <c r="B57" t="s">
        <v>20</v>
      </c>
      <c r="C57" t="s">
        <v>12</v>
      </c>
      <c r="D57" t="s">
        <v>34</v>
      </c>
      <c r="E57" t="s">
        <v>42</v>
      </c>
      <c r="F57" s="1">
        <v>13</v>
      </c>
      <c r="G57" t="s">
        <v>154</v>
      </c>
      <c r="H57" t="s">
        <v>51</v>
      </c>
      <c r="I57" t="s">
        <v>17</v>
      </c>
      <c r="J57" t="s">
        <v>18</v>
      </c>
      <c r="K57" t="str">
        <f t="shared" si="0"/>
        <v>Garbage Collection</v>
      </c>
      <c r="L57" t="s">
        <v>881</v>
      </c>
      <c r="M57" t="str">
        <f t="shared" si="1"/>
        <v>Garbage not collected for 3 days</v>
      </c>
      <c r="N57">
        <v>4</v>
      </c>
      <c r="O57" t="s">
        <v>37</v>
      </c>
      <c r="P57">
        <f t="shared" si="2"/>
        <v>3</v>
      </c>
      <c r="Q57" t="str">
        <f t="shared" si="3"/>
        <v>Delayed</v>
      </c>
      <c r="R57" t="str">
        <f t="shared" si="4"/>
        <v>Off057</v>
      </c>
      <c r="S57">
        <v>5</v>
      </c>
      <c r="T57">
        <v>20</v>
      </c>
      <c r="U57">
        <v>22875</v>
      </c>
      <c r="V57">
        <v>23640</v>
      </c>
      <c r="W57" t="str">
        <f t="shared" si="5"/>
        <v>Yes</v>
      </c>
      <c r="X57" t="str">
        <f t="shared" si="6"/>
        <v>Level 3</v>
      </c>
      <c r="Y57" s="2">
        <f t="shared" si="7"/>
        <v>46033</v>
      </c>
    </row>
    <row r="58" spans="1:25" x14ac:dyDescent="0.25">
      <c r="A58" t="s">
        <v>155</v>
      </c>
      <c r="B58" t="s">
        <v>60</v>
      </c>
      <c r="C58" t="s">
        <v>12</v>
      </c>
      <c r="D58" t="s">
        <v>13</v>
      </c>
      <c r="E58" t="s">
        <v>42</v>
      </c>
      <c r="F58" s="1">
        <v>20</v>
      </c>
      <c r="G58" t="s">
        <v>156</v>
      </c>
      <c r="H58" t="s">
        <v>16</v>
      </c>
      <c r="I58" t="s">
        <v>36</v>
      </c>
      <c r="J58" t="s">
        <v>18</v>
      </c>
      <c r="K58" t="str">
        <f t="shared" si="0"/>
        <v>General Complaint</v>
      </c>
      <c r="L58" t="s">
        <v>882</v>
      </c>
      <c r="M58" t="str">
        <f t="shared" si="1"/>
        <v>General complaint reported</v>
      </c>
      <c r="N58">
        <v>4</v>
      </c>
      <c r="O58" t="s">
        <v>37</v>
      </c>
      <c r="P58">
        <f t="shared" si="2"/>
        <v>15</v>
      </c>
      <c r="Q58" t="str">
        <f t="shared" si="3"/>
        <v>Delayed</v>
      </c>
      <c r="R58" t="str">
        <f t="shared" si="4"/>
        <v>Off058</v>
      </c>
      <c r="S58">
        <v>15</v>
      </c>
      <c r="T58">
        <v>50</v>
      </c>
      <c r="U58">
        <v>14013</v>
      </c>
      <c r="V58">
        <v>14171</v>
      </c>
      <c r="W58" t="str">
        <f t="shared" si="5"/>
        <v>Yes</v>
      </c>
      <c r="X58" t="str">
        <f t="shared" si="6"/>
        <v>Level 1</v>
      </c>
      <c r="Y58" s="2">
        <f t="shared" si="7"/>
        <v>45686</v>
      </c>
    </row>
    <row r="59" spans="1:25" x14ac:dyDescent="0.25">
      <c r="A59" t="s">
        <v>157</v>
      </c>
      <c r="B59" t="s">
        <v>60</v>
      </c>
      <c r="C59" t="s">
        <v>39</v>
      </c>
      <c r="D59" t="s">
        <v>34</v>
      </c>
      <c r="E59" t="s">
        <v>23</v>
      </c>
      <c r="F59" s="1">
        <v>8</v>
      </c>
      <c r="G59" t="s">
        <v>158</v>
      </c>
      <c r="H59" t="s">
        <v>16</v>
      </c>
      <c r="I59" t="s">
        <v>65</v>
      </c>
      <c r="J59" t="s">
        <v>18</v>
      </c>
      <c r="K59" t="str">
        <f t="shared" si="0"/>
        <v>General Complaint</v>
      </c>
      <c r="L59" t="s">
        <v>883</v>
      </c>
      <c r="M59" t="str">
        <f t="shared" si="1"/>
        <v>General complaint reported</v>
      </c>
      <c r="N59">
        <v>3</v>
      </c>
      <c r="O59" t="s">
        <v>37</v>
      </c>
      <c r="P59">
        <f t="shared" si="2"/>
        <v>3</v>
      </c>
      <c r="Q59" t="str">
        <f t="shared" si="3"/>
        <v>Delayed</v>
      </c>
      <c r="R59" t="str">
        <f t="shared" si="4"/>
        <v>Off059</v>
      </c>
      <c r="S59">
        <v>15</v>
      </c>
      <c r="T59">
        <v>28</v>
      </c>
      <c r="U59">
        <v>44370</v>
      </c>
      <c r="V59">
        <v>42638</v>
      </c>
      <c r="W59" t="str">
        <f t="shared" si="5"/>
        <v>Yes</v>
      </c>
      <c r="X59" t="str">
        <f t="shared" si="6"/>
        <v>Level 3</v>
      </c>
      <c r="Y59" s="2">
        <f t="shared" si="7"/>
        <v>45788</v>
      </c>
    </row>
    <row r="60" spans="1:25" x14ac:dyDescent="0.25">
      <c r="A60" t="s">
        <v>159</v>
      </c>
      <c r="B60" t="s">
        <v>20</v>
      </c>
      <c r="C60" t="s">
        <v>33</v>
      </c>
      <c r="D60" t="s">
        <v>13</v>
      </c>
      <c r="E60" t="s">
        <v>42</v>
      </c>
      <c r="F60" s="1">
        <v>2</v>
      </c>
      <c r="G60" t="s">
        <v>132</v>
      </c>
      <c r="H60" t="s">
        <v>40</v>
      </c>
      <c r="I60" t="s">
        <v>26</v>
      </c>
      <c r="J60" t="s">
        <v>37</v>
      </c>
      <c r="K60" t="str">
        <f t="shared" si="0"/>
        <v>Garbage Collection</v>
      </c>
      <c r="L60" t="s">
        <v>884</v>
      </c>
      <c r="M60" t="str">
        <f t="shared" si="1"/>
        <v>Garbage not collected for 3 days</v>
      </c>
      <c r="N60">
        <v>4</v>
      </c>
      <c r="O60" t="s">
        <v>37</v>
      </c>
      <c r="P60">
        <f t="shared" si="2"/>
        <v>15</v>
      </c>
      <c r="Q60" t="str">
        <f t="shared" si="3"/>
        <v>Within SLA</v>
      </c>
      <c r="R60" t="str">
        <f t="shared" si="4"/>
        <v>Off060</v>
      </c>
      <c r="S60">
        <v>12</v>
      </c>
      <c r="T60">
        <v>15</v>
      </c>
      <c r="U60">
        <v>21909</v>
      </c>
      <c r="V60">
        <v>20350</v>
      </c>
      <c r="W60" t="str">
        <f t="shared" si="5"/>
        <v>No</v>
      </c>
      <c r="X60" t="str">
        <f t="shared" si="6"/>
        <v>None</v>
      </c>
      <c r="Y60" s="2">
        <f t="shared" si="7"/>
        <v>45875</v>
      </c>
    </row>
    <row r="61" spans="1:25" x14ac:dyDescent="0.25">
      <c r="A61" t="s">
        <v>160</v>
      </c>
      <c r="B61" t="s">
        <v>20</v>
      </c>
      <c r="C61" t="s">
        <v>39</v>
      </c>
      <c r="D61" t="s">
        <v>22</v>
      </c>
      <c r="E61" t="s">
        <v>23</v>
      </c>
      <c r="F61" s="1">
        <v>2</v>
      </c>
      <c r="G61" t="s">
        <v>161</v>
      </c>
      <c r="H61" t="s">
        <v>16</v>
      </c>
      <c r="I61" t="s">
        <v>17</v>
      </c>
      <c r="J61" t="s">
        <v>37</v>
      </c>
      <c r="K61" t="str">
        <f t="shared" si="0"/>
        <v>Garbage Collection</v>
      </c>
      <c r="L61" t="s">
        <v>885</v>
      </c>
      <c r="M61" t="str">
        <f t="shared" si="1"/>
        <v>Garbage not collected for 3 days</v>
      </c>
      <c r="N61">
        <v>1</v>
      </c>
      <c r="O61" t="s">
        <v>18</v>
      </c>
      <c r="P61">
        <f t="shared" si="2"/>
        <v>7</v>
      </c>
      <c r="Q61" t="str">
        <f t="shared" si="3"/>
        <v>Within SLA</v>
      </c>
      <c r="R61" t="str">
        <f t="shared" si="4"/>
        <v>Off061</v>
      </c>
      <c r="S61">
        <v>2</v>
      </c>
      <c r="T61">
        <v>19</v>
      </c>
      <c r="U61">
        <v>43887</v>
      </c>
      <c r="V61">
        <v>43002</v>
      </c>
      <c r="W61" t="str">
        <f t="shared" si="5"/>
        <v>No</v>
      </c>
      <c r="X61" t="str">
        <f t="shared" si="6"/>
        <v>None</v>
      </c>
      <c r="Y61" s="2">
        <f t="shared" si="7"/>
        <v>45998</v>
      </c>
    </row>
    <row r="62" spans="1:25" x14ac:dyDescent="0.25">
      <c r="A62" t="s">
        <v>162</v>
      </c>
      <c r="B62" t="s">
        <v>60</v>
      </c>
      <c r="C62" t="s">
        <v>12</v>
      </c>
      <c r="D62" t="s">
        <v>13</v>
      </c>
      <c r="E62" t="s">
        <v>23</v>
      </c>
      <c r="F62" s="1">
        <v>11</v>
      </c>
      <c r="G62" t="s">
        <v>163</v>
      </c>
      <c r="H62" t="s">
        <v>51</v>
      </c>
      <c r="I62" t="s">
        <v>17</v>
      </c>
      <c r="J62" t="s">
        <v>18</v>
      </c>
      <c r="K62" t="str">
        <f t="shared" si="0"/>
        <v>General Complaint</v>
      </c>
      <c r="L62" t="s">
        <v>881</v>
      </c>
      <c r="M62" t="str">
        <f t="shared" si="1"/>
        <v>General complaint reported</v>
      </c>
      <c r="N62">
        <v>1</v>
      </c>
      <c r="O62" t="s">
        <v>18</v>
      </c>
      <c r="P62">
        <f t="shared" si="2"/>
        <v>15</v>
      </c>
      <c r="Q62" t="str">
        <f t="shared" si="3"/>
        <v>Within SLA</v>
      </c>
      <c r="R62" t="str">
        <f t="shared" si="4"/>
        <v>Off062</v>
      </c>
      <c r="S62">
        <v>1</v>
      </c>
      <c r="T62">
        <v>40</v>
      </c>
      <c r="U62">
        <v>28760</v>
      </c>
      <c r="V62">
        <v>30626</v>
      </c>
      <c r="W62" t="str">
        <f t="shared" si="5"/>
        <v>No</v>
      </c>
      <c r="X62" t="str">
        <f t="shared" si="6"/>
        <v>None</v>
      </c>
      <c r="Y62" s="2">
        <f t="shared" si="7"/>
        <v>45917</v>
      </c>
    </row>
    <row r="63" spans="1:25" x14ac:dyDescent="0.25">
      <c r="A63" t="s">
        <v>164</v>
      </c>
      <c r="B63" t="s">
        <v>53</v>
      </c>
      <c r="C63" t="s">
        <v>39</v>
      </c>
      <c r="D63" t="s">
        <v>22</v>
      </c>
      <c r="E63" t="s">
        <v>14</v>
      </c>
      <c r="F63" s="1">
        <v>44</v>
      </c>
      <c r="G63" t="s">
        <v>165</v>
      </c>
      <c r="H63" t="s">
        <v>58</v>
      </c>
      <c r="I63" t="s">
        <v>65</v>
      </c>
      <c r="J63" t="s">
        <v>18</v>
      </c>
      <c r="K63" t="str">
        <f t="shared" si="0"/>
        <v>Public Transport Delay</v>
      </c>
      <c r="L63" t="s">
        <v>882</v>
      </c>
      <c r="M63" t="str">
        <f t="shared" si="1"/>
        <v>Bus arrival delay reported</v>
      </c>
      <c r="N63">
        <v>5</v>
      </c>
      <c r="O63" t="s">
        <v>37</v>
      </c>
      <c r="P63">
        <f t="shared" si="2"/>
        <v>7</v>
      </c>
      <c r="Q63" t="str">
        <f t="shared" si="3"/>
        <v>Delayed</v>
      </c>
      <c r="R63" t="str">
        <f t="shared" si="4"/>
        <v>Off063</v>
      </c>
      <c r="S63">
        <v>8</v>
      </c>
      <c r="T63">
        <v>20</v>
      </c>
      <c r="U63">
        <v>35047</v>
      </c>
      <c r="V63">
        <v>36881</v>
      </c>
      <c r="W63" t="str">
        <f t="shared" si="5"/>
        <v>Yes</v>
      </c>
      <c r="X63" t="str">
        <f t="shared" si="6"/>
        <v>Level 2</v>
      </c>
      <c r="Y63" s="2">
        <f t="shared" si="7"/>
        <v>46219</v>
      </c>
    </row>
    <row r="64" spans="1:25" x14ac:dyDescent="0.25">
      <c r="A64" t="s">
        <v>166</v>
      </c>
      <c r="B64" t="s">
        <v>20</v>
      </c>
      <c r="C64" t="s">
        <v>61</v>
      </c>
      <c r="D64" t="s">
        <v>34</v>
      </c>
      <c r="E64" t="s">
        <v>23</v>
      </c>
      <c r="F64" s="1">
        <v>13</v>
      </c>
      <c r="G64" t="s">
        <v>167</v>
      </c>
      <c r="H64" t="s">
        <v>25</v>
      </c>
      <c r="I64" t="s">
        <v>36</v>
      </c>
      <c r="J64" t="s">
        <v>18</v>
      </c>
      <c r="K64" t="str">
        <f t="shared" si="0"/>
        <v>Garbage Collection</v>
      </c>
      <c r="L64" t="s">
        <v>883</v>
      </c>
      <c r="M64" t="str">
        <f t="shared" si="1"/>
        <v>Garbage not collected for 3 days</v>
      </c>
      <c r="N64">
        <v>1</v>
      </c>
      <c r="O64" t="s">
        <v>18</v>
      </c>
      <c r="P64">
        <f t="shared" si="2"/>
        <v>3</v>
      </c>
      <c r="Q64" t="str">
        <f t="shared" si="3"/>
        <v>Delayed</v>
      </c>
      <c r="R64" t="str">
        <f t="shared" si="4"/>
        <v>Off064</v>
      </c>
      <c r="S64">
        <v>15</v>
      </c>
      <c r="T64">
        <v>23</v>
      </c>
      <c r="U64">
        <v>34688</v>
      </c>
      <c r="V64">
        <v>33339</v>
      </c>
      <c r="W64" t="str">
        <f t="shared" si="5"/>
        <v>Yes</v>
      </c>
      <c r="X64" t="str">
        <f t="shared" si="6"/>
        <v>Level 3</v>
      </c>
      <c r="Y64" s="2">
        <f t="shared" si="7"/>
        <v>46085</v>
      </c>
    </row>
    <row r="65" spans="1:25" x14ac:dyDescent="0.25">
      <c r="A65" t="s">
        <v>168</v>
      </c>
      <c r="B65" t="s">
        <v>28</v>
      </c>
      <c r="C65" t="s">
        <v>39</v>
      </c>
      <c r="D65" t="s">
        <v>34</v>
      </c>
      <c r="E65" t="s">
        <v>23</v>
      </c>
      <c r="F65" s="1">
        <v>5</v>
      </c>
      <c r="G65" t="s">
        <v>57</v>
      </c>
      <c r="H65" t="s">
        <v>58</v>
      </c>
      <c r="I65" t="s">
        <v>17</v>
      </c>
      <c r="J65" t="s">
        <v>37</v>
      </c>
      <c r="K65" t="str">
        <f t="shared" si="0"/>
        <v>Road Damage</v>
      </c>
      <c r="L65" t="s">
        <v>884</v>
      </c>
      <c r="M65" t="str">
        <f t="shared" si="1"/>
        <v>Road damaged due to heavy rain</v>
      </c>
      <c r="N65">
        <v>4</v>
      </c>
      <c r="O65" t="s">
        <v>37</v>
      </c>
      <c r="P65">
        <f t="shared" si="2"/>
        <v>3</v>
      </c>
      <c r="Q65" t="str">
        <f t="shared" si="3"/>
        <v>Delayed</v>
      </c>
      <c r="R65" t="str">
        <f t="shared" si="4"/>
        <v>Off065</v>
      </c>
      <c r="S65">
        <v>4</v>
      </c>
      <c r="T65">
        <v>5</v>
      </c>
      <c r="U65">
        <v>25075</v>
      </c>
      <c r="V65">
        <v>26607</v>
      </c>
      <c r="W65" t="str">
        <f t="shared" si="5"/>
        <v>Yes</v>
      </c>
      <c r="X65" t="str">
        <f t="shared" si="6"/>
        <v>Level 3</v>
      </c>
      <c r="Y65" s="2">
        <f t="shared" si="7"/>
        <v>46148</v>
      </c>
    </row>
    <row r="66" spans="1:25" x14ac:dyDescent="0.25">
      <c r="A66" t="s">
        <v>169</v>
      </c>
      <c r="B66" t="s">
        <v>20</v>
      </c>
      <c r="C66" t="s">
        <v>76</v>
      </c>
      <c r="D66" t="s">
        <v>34</v>
      </c>
      <c r="E66" t="s">
        <v>23</v>
      </c>
      <c r="F66" s="1">
        <v>13</v>
      </c>
      <c r="G66" t="s">
        <v>170</v>
      </c>
      <c r="H66" t="s">
        <v>16</v>
      </c>
      <c r="I66" t="s">
        <v>44</v>
      </c>
      <c r="J66" t="s">
        <v>18</v>
      </c>
      <c r="K66" t="str">
        <f t="shared" si="0"/>
        <v>Garbage Collection</v>
      </c>
      <c r="L66" t="s">
        <v>885</v>
      </c>
      <c r="M66" t="str">
        <f t="shared" si="1"/>
        <v>Garbage not collected for 3 days</v>
      </c>
      <c r="N66">
        <v>4</v>
      </c>
      <c r="O66" t="s">
        <v>37</v>
      </c>
      <c r="P66">
        <f t="shared" si="2"/>
        <v>3</v>
      </c>
      <c r="Q66" t="str">
        <f t="shared" si="3"/>
        <v>Delayed</v>
      </c>
      <c r="R66" t="str">
        <f t="shared" si="4"/>
        <v>Off066</v>
      </c>
      <c r="S66">
        <v>7</v>
      </c>
      <c r="T66">
        <v>17</v>
      </c>
      <c r="U66">
        <v>37560</v>
      </c>
      <c r="V66">
        <v>38797</v>
      </c>
      <c r="W66" t="str">
        <f t="shared" si="5"/>
        <v>Yes</v>
      </c>
      <c r="X66" t="str">
        <f t="shared" si="6"/>
        <v>Level 3</v>
      </c>
      <c r="Y66" s="2">
        <f t="shared" si="7"/>
        <v>45968</v>
      </c>
    </row>
    <row r="67" spans="1:25" x14ac:dyDescent="0.25">
      <c r="A67" t="s">
        <v>171</v>
      </c>
      <c r="B67" t="s">
        <v>60</v>
      </c>
      <c r="C67" t="s">
        <v>12</v>
      </c>
      <c r="D67" t="s">
        <v>13</v>
      </c>
      <c r="E67" t="s">
        <v>42</v>
      </c>
      <c r="F67" s="1">
        <v>1</v>
      </c>
      <c r="G67" t="s">
        <v>172</v>
      </c>
      <c r="H67" t="s">
        <v>51</v>
      </c>
      <c r="I67" t="s">
        <v>65</v>
      </c>
      <c r="J67" t="s">
        <v>37</v>
      </c>
      <c r="K67" t="str">
        <f t="shared" ref="K67:K130" si="8">IF(B67="Water Supply","Water Leakage",
IF(B67="Roads","Road Damage",
IF(B67="Municipal Services","Garbage Collection",
IF(B67="Electricity","Street Light Failure",
IF(B67="Public Transport","Public Transport Delay","General Complaint")))))</f>
        <v>General Complaint</v>
      </c>
      <c r="L67" t="s">
        <v>881</v>
      </c>
      <c r="M67" t="str">
        <f t="shared" ref="M67:M130" si="9">IF(K67="Water Leakage","Water pipe leakage near school",
IF(K67="Road Damage","Road damaged due to heavy rain",
IF(K67="Garbage Collection","Garbage not collected for 3 days",
IF(K67="Street Light Failure","Street light not working in residential area",
IF(K67="Public Transport Delay","Bus arrival delay reported",
"General complaint reported")))))</f>
        <v>General complaint reported</v>
      </c>
      <c r="N67">
        <v>5</v>
      </c>
      <c r="O67" t="s">
        <v>37</v>
      </c>
      <c r="P67">
        <f t="shared" ref="P67:P130" si="10">IF(D67="High",3,
IF(D67="Medium",7,15))</f>
        <v>15</v>
      </c>
      <c r="Q67" t="str">
        <f t="shared" ref="Q67:Q130" si="11">IF(F67&lt;=P67,"Within SLA","Delayed")</f>
        <v>Within SLA</v>
      </c>
      <c r="R67" t="str">
        <f t="shared" ref="R67:R130" si="12">"Off"&amp;TEXT(ROW(A67),"000")</f>
        <v>Off067</v>
      </c>
      <c r="S67">
        <v>11</v>
      </c>
      <c r="T67">
        <v>29</v>
      </c>
      <c r="U67">
        <v>46376</v>
      </c>
      <c r="V67">
        <v>44649</v>
      </c>
      <c r="W67" t="str">
        <f t="shared" ref="W67:W130" si="13">IF(F67&gt;P67,"Yes","No")</f>
        <v>No</v>
      </c>
      <c r="X67" t="str">
        <f t="shared" ref="X67:X130" si="14">IF(W67="No","None",
IF(D67="High","Level 3",
IF(D67="Medium","Level 2","Level 1")))</f>
        <v>None</v>
      </c>
      <c r="Y67" s="2">
        <f t="shared" ref="Y67:Y130" si="15">G67+F67</f>
        <v>45739</v>
      </c>
    </row>
    <row r="68" spans="1:25" x14ac:dyDescent="0.25">
      <c r="A68" t="s">
        <v>173</v>
      </c>
      <c r="B68" t="s">
        <v>53</v>
      </c>
      <c r="C68" t="s">
        <v>61</v>
      </c>
      <c r="D68" t="s">
        <v>22</v>
      </c>
      <c r="E68" t="s">
        <v>30</v>
      </c>
      <c r="F68" s="1">
        <v>37</v>
      </c>
      <c r="G68" t="s">
        <v>174</v>
      </c>
      <c r="H68" t="s">
        <v>51</v>
      </c>
      <c r="I68" t="s">
        <v>26</v>
      </c>
      <c r="J68" t="s">
        <v>18</v>
      </c>
      <c r="K68" t="str">
        <f t="shared" si="8"/>
        <v>Public Transport Delay</v>
      </c>
      <c r="L68" t="s">
        <v>882</v>
      </c>
      <c r="M68" t="str">
        <f t="shared" si="9"/>
        <v>Bus arrival delay reported</v>
      </c>
      <c r="N68">
        <v>1</v>
      </c>
      <c r="O68" t="s">
        <v>18</v>
      </c>
      <c r="P68">
        <f t="shared" si="10"/>
        <v>7</v>
      </c>
      <c r="Q68" t="str">
        <f t="shared" si="11"/>
        <v>Delayed</v>
      </c>
      <c r="R68" t="str">
        <f t="shared" si="12"/>
        <v>Off068</v>
      </c>
      <c r="S68">
        <v>11</v>
      </c>
      <c r="T68">
        <v>19</v>
      </c>
      <c r="U68">
        <v>12172</v>
      </c>
      <c r="V68">
        <v>12415</v>
      </c>
      <c r="W68" t="str">
        <f t="shared" si="13"/>
        <v>Yes</v>
      </c>
      <c r="X68" t="str">
        <f t="shared" si="14"/>
        <v>Level 2</v>
      </c>
      <c r="Y68" s="2">
        <f t="shared" si="15"/>
        <v>46229</v>
      </c>
    </row>
    <row r="69" spans="1:25" x14ac:dyDescent="0.25">
      <c r="A69" t="s">
        <v>175</v>
      </c>
      <c r="B69" t="s">
        <v>11</v>
      </c>
      <c r="C69" t="s">
        <v>39</v>
      </c>
      <c r="D69" t="s">
        <v>13</v>
      </c>
      <c r="E69" t="s">
        <v>30</v>
      </c>
      <c r="F69" s="1">
        <v>40</v>
      </c>
      <c r="G69" t="s">
        <v>176</v>
      </c>
      <c r="H69" t="s">
        <v>51</v>
      </c>
      <c r="I69" t="s">
        <v>36</v>
      </c>
      <c r="J69" t="s">
        <v>18</v>
      </c>
      <c r="K69" t="str">
        <f t="shared" si="8"/>
        <v>Water Leakage</v>
      </c>
      <c r="L69" t="s">
        <v>883</v>
      </c>
      <c r="M69" t="str">
        <f t="shared" si="9"/>
        <v>Water pipe leakage near school</v>
      </c>
      <c r="N69">
        <v>4</v>
      </c>
      <c r="O69" t="s">
        <v>37</v>
      </c>
      <c r="P69">
        <f t="shared" si="10"/>
        <v>15</v>
      </c>
      <c r="Q69" t="str">
        <f t="shared" si="11"/>
        <v>Delayed</v>
      </c>
      <c r="R69" t="str">
        <f t="shared" si="12"/>
        <v>Off069</v>
      </c>
      <c r="S69">
        <v>15</v>
      </c>
      <c r="T69">
        <v>38</v>
      </c>
      <c r="U69">
        <v>24804</v>
      </c>
      <c r="V69">
        <v>23923</v>
      </c>
      <c r="W69" t="str">
        <f t="shared" si="13"/>
        <v>Yes</v>
      </c>
      <c r="X69" t="str">
        <f t="shared" si="14"/>
        <v>Level 1</v>
      </c>
      <c r="Y69" s="2">
        <f t="shared" si="15"/>
        <v>45797</v>
      </c>
    </row>
    <row r="70" spans="1:25" x14ac:dyDescent="0.25">
      <c r="A70" t="s">
        <v>177</v>
      </c>
      <c r="B70" t="s">
        <v>53</v>
      </c>
      <c r="C70" t="s">
        <v>33</v>
      </c>
      <c r="D70" t="s">
        <v>34</v>
      </c>
      <c r="E70" t="s">
        <v>42</v>
      </c>
      <c r="F70" s="1">
        <v>27</v>
      </c>
      <c r="G70" t="s">
        <v>178</v>
      </c>
      <c r="H70" t="s">
        <v>25</v>
      </c>
      <c r="I70" t="s">
        <v>65</v>
      </c>
      <c r="J70" t="s">
        <v>18</v>
      </c>
      <c r="K70" t="str">
        <f t="shared" si="8"/>
        <v>Public Transport Delay</v>
      </c>
      <c r="L70" t="s">
        <v>884</v>
      </c>
      <c r="M70" t="str">
        <f t="shared" si="9"/>
        <v>Bus arrival delay reported</v>
      </c>
      <c r="N70">
        <v>4</v>
      </c>
      <c r="O70" t="s">
        <v>37</v>
      </c>
      <c r="P70">
        <f t="shared" si="10"/>
        <v>3</v>
      </c>
      <c r="Q70" t="str">
        <f t="shared" si="11"/>
        <v>Delayed</v>
      </c>
      <c r="R70" t="str">
        <f t="shared" si="12"/>
        <v>Off070</v>
      </c>
      <c r="S70">
        <v>2</v>
      </c>
      <c r="T70">
        <v>36</v>
      </c>
      <c r="U70">
        <v>24948</v>
      </c>
      <c r="V70">
        <v>23910</v>
      </c>
      <c r="W70" t="str">
        <f t="shared" si="13"/>
        <v>Yes</v>
      </c>
      <c r="X70" t="str">
        <f t="shared" si="14"/>
        <v>Level 3</v>
      </c>
      <c r="Y70" s="2">
        <f t="shared" si="15"/>
        <v>45941</v>
      </c>
    </row>
    <row r="71" spans="1:25" x14ac:dyDescent="0.25">
      <c r="A71" t="s">
        <v>179</v>
      </c>
      <c r="B71" t="s">
        <v>11</v>
      </c>
      <c r="C71" t="s">
        <v>21</v>
      </c>
      <c r="D71" t="s">
        <v>13</v>
      </c>
      <c r="E71" t="s">
        <v>30</v>
      </c>
      <c r="F71" s="1">
        <v>43</v>
      </c>
      <c r="G71" t="s">
        <v>93</v>
      </c>
      <c r="H71" t="s">
        <v>25</v>
      </c>
      <c r="I71" t="s">
        <v>36</v>
      </c>
      <c r="J71" t="s">
        <v>18</v>
      </c>
      <c r="K71" t="str">
        <f t="shared" si="8"/>
        <v>Water Leakage</v>
      </c>
      <c r="L71" t="s">
        <v>885</v>
      </c>
      <c r="M71" t="str">
        <f t="shared" si="9"/>
        <v>Water pipe leakage near school</v>
      </c>
      <c r="N71">
        <v>2</v>
      </c>
      <c r="O71" t="s">
        <v>18</v>
      </c>
      <c r="P71">
        <f t="shared" si="10"/>
        <v>15</v>
      </c>
      <c r="Q71" t="str">
        <f t="shared" si="11"/>
        <v>Delayed</v>
      </c>
      <c r="R71" t="str">
        <f t="shared" si="12"/>
        <v>Off071</v>
      </c>
      <c r="S71">
        <v>1</v>
      </c>
      <c r="T71">
        <v>43</v>
      </c>
      <c r="U71">
        <v>37613</v>
      </c>
      <c r="V71">
        <v>39141</v>
      </c>
      <c r="W71" t="str">
        <f t="shared" si="13"/>
        <v>Yes</v>
      </c>
      <c r="X71" t="str">
        <f t="shared" si="14"/>
        <v>Level 1</v>
      </c>
      <c r="Y71" s="2">
        <f t="shared" si="15"/>
        <v>45704</v>
      </c>
    </row>
    <row r="72" spans="1:25" x14ac:dyDescent="0.25">
      <c r="A72" t="s">
        <v>180</v>
      </c>
      <c r="B72" t="s">
        <v>11</v>
      </c>
      <c r="C72" t="s">
        <v>12</v>
      </c>
      <c r="D72" t="s">
        <v>22</v>
      </c>
      <c r="E72" t="s">
        <v>23</v>
      </c>
      <c r="F72" s="1">
        <v>28</v>
      </c>
      <c r="G72" t="s">
        <v>181</v>
      </c>
      <c r="H72" t="s">
        <v>51</v>
      </c>
      <c r="I72" t="s">
        <v>36</v>
      </c>
      <c r="J72" t="s">
        <v>18</v>
      </c>
      <c r="K72" t="str">
        <f t="shared" si="8"/>
        <v>Water Leakage</v>
      </c>
      <c r="L72" t="s">
        <v>881</v>
      </c>
      <c r="M72" t="str">
        <f t="shared" si="9"/>
        <v>Water pipe leakage near school</v>
      </c>
      <c r="N72">
        <v>1</v>
      </c>
      <c r="O72" t="s">
        <v>18</v>
      </c>
      <c r="P72">
        <f t="shared" si="10"/>
        <v>7</v>
      </c>
      <c r="Q72" t="str">
        <f t="shared" si="11"/>
        <v>Delayed</v>
      </c>
      <c r="R72" t="str">
        <f t="shared" si="12"/>
        <v>Off072</v>
      </c>
      <c r="S72">
        <v>13</v>
      </c>
      <c r="T72">
        <v>39</v>
      </c>
      <c r="U72">
        <v>25543</v>
      </c>
      <c r="V72">
        <v>26664</v>
      </c>
      <c r="W72" t="str">
        <f t="shared" si="13"/>
        <v>Yes</v>
      </c>
      <c r="X72" t="str">
        <f t="shared" si="14"/>
        <v>Level 2</v>
      </c>
      <c r="Y72" s="2">
        <f t="shared" si="15"/>
        <v>46164</v>
      </c>
    </row>
    <row r="73" spans="1:25" x14ac:dyDescent="0.25">
      <c r="A73" t="s">
        <v>182</v>
      </c>
      <c r="B73" t="s">
        <v>53</v>
      </c>
      <c r="C73" t="s">
        <v>12</v>
      </c>
      <c r="D73" t="s">
        <v>34</v>
      </c>
      <c r="E73" t="s">
        <v>42</v>
      </c>
      <c r="F73" s="1">
        <v>2</v>
      </c>
      <c r="G73" t="s">
        <v>183</v>
      </c>
      <c r="H73" t="s">
        <v>58</v>
      </c>
      <c r="I73" t="s">
        <v>65</v>
      </c>
      <c r="J73" t="s">
        <v>37</v>
      </c>
      <c r="K73" t="str">
        <f t="shared" si="8"/>
        <v>Public Transport Delay</v>
      </c>
      <c r="L73" t="s">
        <v>882</v>
      </c>
      <c r="M73" t="str">
        <f t="shared" si="9"/>
        <v>Bus arrival delay reported</v>
      </c>
      <c r="N73">
        <v>3</v>
      </c>
      <c r="O73" t="s">
        <v>37</v>
      </c>
      <c r="P73">
        <f t="shared" si="10"/>
        <v>3</v>
      </c>
      <c r="Q73" t="str">
        <f t="shared" si="11"/>
        <v>Within SLA</v>
      </c>
      <c r="R73" t="str">
        <f t="shared" si="12"/>
        <v>Off073</v>
      </c>
      <c r="S73">
        <v>3</v>
      </c>
      <c r="T73">
        <v>11</v>
      </c>
      <c r="U73">
        <v>44030</v>
      </c>
      <c r="V73">
        <v>44870</v>
      </c>
      <c r="W73" t="str">
        <f t="shared" si="13"/>
        <v>No</v>
      </c>
      <c r="X73" t="str">
        <f t="shared" si="14"/>
        <v>None</v>
      </c>
      <c r="Y73" s="2">
        <f t="shared" si="15"/>
        <v>45941</v>
      </c>
    </row>
    <row r="74" spans="1:25" x14ac:dyDescent="0.25">
      <c r="A74" t="s">
        <v>184</v>
      </c>
      <c r="B74" t="s">
        <v>53</v>
      </c>
      <c r="C74" t="s">
        <v>76</v>
      </c>
      <c r="D74" t="s">
        <v>13</v>
      </c>
      <c r="E74" t="s">
        <v>30</v>
      </c>
      <c r="F74" s="1">
        <v>43</v>
      </c>
      <c r="G74" t="s">
        <v>185</v>
      </c>
      <c r="H74" t="s">
        <v>47</v>
      </c>
      <c r="I74" t="s">
        <v>36</v>
      </c>
      <c r="J74" t="s">
        <v>18</v>
      </c>
      <c r="K74" t="str">
        <f t="shared" si="8"/>
        <v>Public Transport Delay</v>
      </c>
      <c r="L74" t="s">
        <v>883</v>
      </c>
      <c r="M74" t="str">
        <f t="shared" si="9"/>
        <v>Bus arrival delay reported</v>
      </c>
      <c r="N74">
        <v>3</v>
      </c>
      <c r="O74" t="s">
        <v>37</v>
      </c>
      <c r="P74">
        <f t="shared" si="10"/>
        <v>15</v>
      </c>
      <c r="Q74" t="str">
        <f t="shared" si="11"/>
        <v>Delayed</v>
      </c>
      <c r="R74" t="str">
        <f t="shared" si="12"/>
        <v>Off074</v>
      </c>
      <c r="S74">
        <v>11</v>
      </c>
      <c r="T74">
        <v>50</v>
      </c>
      <c r="U74">
        <v>18019</v>
      </c>
      <c r="V74">
        <v>17216</v>
      </c>
      <c r="W74" t="str">
        <f t="shared" si="13"/>
        <v>Yes</v>
      </c>
      <c r="X74" t="str">
        <f t="shared" si="14"/>
        <v>Level 1</v>
      </c>
      <c r="Y74" s="2">
        <f t="shared" si="15"/>
        <v>45973</v>
      </c>
    </row>
    <row r="75" spans="1:25" x14ac:dyDescent="0.25">
      <c r="A75" t="s">
        <v>186</v>
      </c>
      <c r="B75" t="s">
        <v>11</v>
      </c>
      <c r="C75" t="s">
        <v>39</v>
      </c>
      <c r="D75" t="s">
        <v>22</v>
      </c>
      <c r="E75" t="s">
        <v>23</v>
      </c>
      <c r="F75" s="1">
        <v>2</v>
      </c>
      <c r="G75" t="s">
        <v>187</v>
      </c>
      <c r="H75" t="s">
        <v>51</v>
      </c>
      <c r="I75" t="s">
        <v>26</v>
      </c>
      <c r="J75" t="s">
        <v>37</v>
      </c>
      <c r="K75" t="str">
        <f t="shared" si="8"/>
        <v>Water Leakage</v>
      </c>
      <c r="L75" t="s">
        <v>884</v>
      </c>
      <c r="M75" t="str">
        <f t="shared" si="9"/>
        <v>Water pipe leakage near school</v>
      </c>
      <c r="N75">
        <v>5</v>
      </c>
      <c r="O75" t="s">
        <v>37</v>
      </c>
      <c r="P75">
        <f t="shared" si="10"/>
        <v>7</v>
      </c>
      <c r="Q75" t="str">
        <f t="shared" si="11"/>
        <v>Within SLA</v>
      </c>
      <c r="R75" t="str">
        <f t="shared" si="12"/>
        <v>Off075</v>
      </c>
      <c r="S75">
        <v>13</v>
      </c>
      <c r="T75">
        <v>21</v>
      </c>
      <c r="U75">
        <v>8615</v>
      </c>
      <c r="V75">
        <v>9008</v>
      </c>
      <c r="W75" t="str">
        <f t="shared" si="13"/>
        <v>No</v>
      </c>
      <c r="X75" t="str">
        <f t="shared" si="14"/>
        <v>None</v>
      </c>
      <c r="Y75" s="2">
        <f t="shared" si="15"/>
        <v>45890</v>
      </c>
    </row>
    <row r="76" spans="1:25" x14ac:dyDescent="0.25">
      <c r="A76" t="s">
        <v>188</v>
      </c>
      <c r="B76" t="s">
        <v>11</v>
      </c>
      <c r="C76" t="s">
        <v>33</v>
      </c>
      <c r="D76" t="s">
        <v>22</v>
      </c>
      <c r="E76" t="s">
        <v>30</v>
      </c>
      <c r="F76" s="1">
        <v>27</v>
      </c>
      <c r="G76" t="s">
        <v>189</v>
      </c>
      <c r="H76" t="s">
        <v>58</v>
      </c>
      <c r="I76" t="s">
        <v>17</v>
      </c>
      <c r="J76" t="s">
        <v>18</v>
      </c>
      <c r="K76" t="str">
        <f t="shared" si="8"/>
        <v>Water Leakage</v>
      </c>
      <c r="L76" t="s">
        <v>885</v>
      </c>
      <c r="M76" t="str">
        <f t="shared" si="9"/>
        <v>Water pipe leakage near school</v>
      </c>
      <c r="N76">
        <v>1</v>
      </c>
      <c r="O76" t="s">
        <v>18</v>
      </c>
      <c r="P76">
        <f t="shared" si="10"/>
        <v>7</v>
      </c>
      <c r="Q76" t="str">
        <f t="shared" si="11"/>
        <v>Delayed</v>
      </c>
      <c r="R76" t="str">
        <f t="shared" si="12"/>
        <v>Off076</v>
      </c>
      <c r="S76">
        <v>3</v>
      </c>
      <c r="T76">
        <v>19</v>
      </c>
      <c r="U76">
        <v>43909</v>
      </c>
      <c r="V76">
        <v>42775</v>
      </c>
      <c r="W76" t="str">
        <f t="shared" si="13"/>
        <v>Yes</v>
      </c>
      <c r="X76" t="str">
        <f t="shared" si="14"/>
        <v>Level 2</v>
      </c>
      <c r="Y76" s="2">
        <f t="shared" si="15"/>
        <v>45856</v>
      </c>
    </row>
    <row r="77" spans="1:25" x14ac:dyDescent="0.25">
      <c r="A77" t="s">
        <v>190</v>
      </c>
      <c r="B77" t="s">
        <v>11</v>
      </c>
      <c r="C77" t="s">
        <v>33</v>
      </c>
      <c r="D77" t="s">
        <v>13</v>
      </c>
      <c r="E77" t="s">
        <v>14</v>
      </c>
      <c r="F77" s="1">
        <v>41</v>
      </c>
      <c r="G77" t="s">
        <v>191</v>
      </c>
      <c r="H77" t="s">
        <v>47</v>
      </c>
      <c r="I77" t="s">
        <v>26</v>
      </c>
      <c r="J77" t="s">
        <v>18</v>
      </c>
      <c r="K77" t="str">
        <f t="shared" si="8"/>
        <v>Water Leakage</v>
      </c>
      <c r="L77" t="s">
        <v>881</v>
      </c>
      <c r="M77" t="str">
        <f t="shared" si="9"/>
        <v>Water pipe leakage near school</v>
      </c>
      <c r="N77">
        <v>1</v>
      </c>
      <c r="O77" t="s">
        <v>18</v>
      </c>
      <c r="P77">
        <f t="shared" si="10"/>
        <v>15</v>
      </c>
      <c r="Q77" t="str">
        <f t="shared" si="11"/>
        <v>Delayed</v>
      </c>
      <c r="R77" t="str">
        <f t="shared" si="12"/>
        <v>Off077</v>
      </c>
      <c r="S77">
        <v>6</v>
      </c>
      <c r="T77">
        <v>27</v>
      </c>
      <c r="U77">
        <v>36219</v>
      </c>
      <c r="V77">
        <v>34288</v>
      </c>
      <c r="W77" t="str">
        <f t="shared" si="13"/>
        <v>Yes</v>
      </c>
      <c r="X77" t="str">
        <f t="shared" si="14"/>
        <v>Level 1</v>
      </c>
      <c r="Y77" s="2">
        <f t="shared" si="15"/>
        <v>46176</v>
      </c>
    </row>
    <row r="78" spans="1:25" x14ac:dyDescent="0.25">
      <c r="A78" t="s">
        <v>192</v>
      </c>
      <c r="B78" t="s">
        <v>53</v>
      </c>
      <c r="C78" t="s">
        <v>61</v>
      </c>
      <c r="D78" t="s">
        <v>22</v>
      </c>
      <c r="E78" t="s">
        <v>14</v>
      </c>
      <c r="F78" s="1">
        <v>13</v>
      </c>
      <c r="G78" t="s">
        <v>193</v>
      </c>
      <c r="H78" t="s">
        <v>47</v>
      </c>
      <c r="I78" t="s">
        <v>17</v>
      </c>
      <c r="J78" t="s">
        <v>18</v>
      </c>
      <c r="K78" t="str">
        <f t="shared" si="8"/>
        <v>Public Transport Delay</v>
      </c>
      <c r="L78" t="s">
        <v>882</v>
      </c>
      <c r="M78" t="str">
        <f t="shared" si="9"/>
        <v>Bus arrival delay reported</v>
      </c>
      <c r="N78">
        <v>1</v>
      </c>
      <c r="O78" t="s">
        <v>18</v>
      </c>
      <c r="P78">
        <f t="shared" si="10"/>
        <v>7</v>
      </c>
      <c r="Q78" t="str">
        <f t="shared" si="11"/>
        <v>Delayed</v>
      </c>
      <c r="R78" t="str">
        <f t="shared" si="12"/>
        <v>Off078</v>
      </c>
      <c r="S78">
        <v>3</v>
      </c>
      <c r="T78">
        <v>31</v>
      </c>
      <c r="U78">
        <v>40130</v>
      </c>
      <c r="V78">
        <v>39884</v>
      </c>
      <c r="W78" t="str">
        <f t="shared" si="13"/>
        <v>Yes</v>
      </c>
      <c r="X78" t="str">
        <f t="shared" si="14"/>
        <v>Level 2</v>
      </c>
      <c r="Y78" s="2">
        <f t="shared" si="15"/>
        <v>45737</v>
      </c>
    </row>
    <row r="79" spans="1:25" x14ac:dyDescent="0.25">
      <c r="A79" t="s">
        <v>194</v>
      </c>
      <c r="B79" t="s">
        <v>53</v>
      </c>
      <c r="C79" t="s">
        <v>56</v>
      </c>
      <c r="D79" t="s">
        <v>34</v>
      </c>
      <c r="E79" t="s">
        <v>42</v>
      </c>
      <c r="F79" s="1">
        <v>6</v>
      </c>
      <c r="G79" t="s">
        <v>195</v>
      </c>
      <c r="H79" t="s">
        <v>58</v>
      </c>
      <c r="I79" t="s">
        <v>65</v>
      </c>
      <c r="J79" t="s">
        <v>37</v>
      </c>
      <c r="K79" t="str">
        <f t="shared" si="8"/>
        <v>Public Transport Delay</v>
      </c>
      <c r="L79" t="s">
        <v>883</v>
      </c>
      <c r="M79" t="str">
        <f t="shared" si="9"/>
        <v>Bus arrival delay reported</v>
      </c>
      <c r="N79">
        <v>2</v>
      </c>
      <c r="O79" t="s">
        <v>18</v>
      </c>
      <c r="P79">
        <f t="shared" si="10"/>
        <v>3</v>
      </c>
      <c r="Q79" t="str">
        <f t="shared" si="11"/>
        <v>Delayed</v>
      </c>
      <c r="R79" t="str">
        <f t="shared" si="12"/>
        <v>Off079</v>
      </c>
      <c r="S79">
        <v>3</v>
      </c>
      <c r="T79">
        <v>48</v>
      </c>
      <c r="U79">
        <v>43191</v>
      </c>
      <c r="V79">
        <v>44797</v>
      </c>
      <c r="W79" t="str">
        <f t="shared" si="13"/>
        <v>Yes</v>
      </c>
      <c r="X79" t="str">
        <f t="shared" si="14"/>
        <v>Level 3</v>
      </c>
      <c r="Y79" s="2">
        <f t="shared" si="15"/>
        <v>46127</v>
      </c>
    </row>
    <row r="80" spans="1:25" x14ac:dyDescent="0.25">
      <c r="A80" t="s">
        <v>196</v>
      </c>
      <c r="B80" t="s">
        <v>20</v>
      </c>
      <c r="C80" t="s">
        <v>12</v>
      </c>
      <c r="D80" t="s">
        <v>13</v>
      </c>
      <c r="E80" t="s">
        <v>14</v>
      </c>
      <c r="F80" s="1">
        <v>35</v>
      </c>
      <c r="G80" t="s">
        <v>197</v>
      </c>
      <c r="H80" t="s">
        <v>51</v>
      </c>
      <c r="I80" t="s">
        <v>26</v>
      </c>
      <c r="J80" t="s">
        <v>18</v>
      </c>
      <c r="K80" t="str">
        <f t="shared" si="8"/>
        <v>Garbage Collection</v>
      </c>
      <c r="L80" t="s">
        <v>884</v>
      </c>
      <c r="M80" t="str">
        <f t="shared" si="9"/>
        <v>Garbage not collected for 3 days</v>
      </c>
      <c r="N80">
        <v>2</v>
      </c>
      <c r="O80" t="s">
        <v>18</v>
      </c>
      <c r="P80">
        <f t="shared" si="10"/>
        <v>15</v>
      </c>
      <c r="Q80" t="str">
        <f t="shared" si="11"/>
        <v>Delayed</v>
      </c>
      <c r="R80" t="str">
        <f t="shared" si="12"/>
        <v>Off080</v>
      </c>
      <c r="S80">
        <v>9</v>
      </c>
      <c r="T80">
        <v>18</v>
      </c>
      <c r="U80">
        <v>23334</v>
      </c>
      <c r="V80">
        <v>21789</v>
      </c>
      <c r="W80" t="str">
        <f t="shared" si="13"/>
        <v>Yes</v>
      </c>
      <c r="X80" t="str">
        <f t="shared" si="14"/>
        <v>Level 1</v>
      </c>
      <c r="Y80" s="2">
        <f t="shared" si="15"/>
        <v>46079</v>
      </c>
    </row>
    <row r="81" spans="1:25" x14ac:dyDescent="0.25">
      <c r="A81" t="s">
        <v>198</v>
      </c>
      <c r="B81" t="s">
        <v>11</v>
      </c>
      <c r="C81" t="s">
        <v>29</v>
      </c>
      <c r="D81" t="s">
        <v>13</v>
      </c>
      <c r="E81" t="s">
        <v>30</v>
      </c>
      <c r="F81" s="1">
        <v>37</v>
      </c>
      <c r="G81" t="s">
        <v>199</v>
      </c>
      <c r="H81" t="s">
        <v>16</v>
      </c>
      <c r="I81" t="s">
        <v>17</v>
      </c>
      <c r="J81" t="s">
        <v>18</v>
      </c>
      <c r="K81" t="str">
        <f t="shared" si="8"/>
        <v>Water Leakage</v>
      </c>
      <c r="L81" t="s">
        <v>885</v>
      </c>
      <c r="M81" t="str">
        <f t="shared" si="9"/>
        <v>Water pipe leakage near school</v>
      </c>
      <c r="N81">
        <v>2</v>
      </c>
      <c r="O81" t="s">
        <v>18</v>
      </c>
      <c r="P81">
        <f t="shared" si="10"/>
        <v>15</v>
      </c>
      <c r="Q81" t="str">
        <f t="shared" si="11"/>
        <v>Delayed</v>
      </c>
      <c r="R81" t="str">
        <f t="shared" si="12"/>
        <v>Off081</v>
      </c>
      <c r="S81">
        <v>1</v>
      </c>
      <c r="T81">
        <v>13</v>
      </c>
      <c r="U81">
        <v>19615</v>
      </c>
      <c r="V81">
        <v>20560</v>
      </c>
      <c r="W81" t="str">
        <f t="shared" si="13"/>
        <v>Yes</v>
      </c>
      <c r="X81" t="str">
        <f t="shared" si="14"/>
        <v>Level 1</v>
      </c>
      <c r="Y81" s="2">
        <f t="shared" si="15"/>
        <v>45762</v>
      </c>
    </row>
    <row r="82" spans="1:25" x14ac:dyDescent="0.25">
      <c r="A82" t="s">
        <v>200</v>
      </c>
      <c r="B82" t="s">
        <v>60</v>
      </c>
      <c r="C82" t="s">
        <v>33</v>
      </c>
      <c r="D82" t="s">
        <v>34</v>
      </c>
      <c r="E82" t="s">
        <v>30</v>
      </c>
      <c r="F82" s="1">
        <v>43</v>
      </c>
      <c r="G82" t="s">
        <v>201</v>
      </c>
      <c r="H82" t="s">
        <v>40</v>
      </c>
      <c r="I82" t="s">
        <v>17</v>
      </c>
      <c r="J82" t="s">
        <v>18</v>
      </c>
      <c r="K82" t="str">
        <f t="shared" si="8"/>
        <v>General Complaint</v>
      </c>
      <c r="L82" t="s">
        <v>881</v>
      </c>
      <c r="M82" t="str">
        <f t="shared" si="9"/>
        <v>General complaint reported</v>
      </c>
      <c r="N82">
        <v>2</v>
      </c>
      <c r="O82" t="s">
        <v>18</v>
      </c>
      <c r="P82">
        <f t="shared" si="10"/>
        <v>3</v>
      </c>
      <c r="Q82" t="str">
        <f t="shared" si="11"/>
        <v>Delayed</v>
      </c>
      <c r="R82" t="str">
        <f t="shared" si="12"/>
        <v>Off082</v>
      </c>
      <c r="S82">
        <v>3</v>
      </c>
      <c r="T82">
        <v>44</v>
      </c>
      <c r="U82">
        <v>3739</v>
      </c>
      <c r="V82">
        <v>4064</v>
      </c>
      <c r="W82" t="str">
        <f t="shared" si="13"/>
        <v>Yes</v>
      </c>
      <c r="X82" t="str">
        <f t="shared" si="14"/>
        <v>Level 3</v>
      </c>
      <c r="Y82" s="2">
        <f t="shared" si="15"/>
        <v>45803</v>
      </c>
    </row>
    <row r="83" spans="1:25" x14ac:dyDescent="0.25">
      <c r="A83" t="s">
        <v>202</v>
      </c>
      <c r="B83" t="s">
        <v>53</v>
      </c>
      <c r="C83" t="s">
        <v>12</v>
      </c>
      <c r="D83" t="s">
        <v>34</v>
      </c>
      <c r="E83" t="s">
        <v>23</v>
      </c>
      <c r="F83" s="1">
        <v>4</v>
      </c>
      <c r="G83" t="s">
        <v>203</v>
      </c>
      <c r="H83" t="s">
        <v>58</v>
      </c>
      <c r="I83" t="s">
        <v>26</v>
      </c>
      <c r="J83" t="s">
        <v>37</v>
      </c>
      <c r="K83" t="str">
        <f t="shared" si="8"/>
        <v>Public Transport Delay</v>
      </c>
      <c r="L83" t="s">
        <v>882</v>
      </c>
      <c r="M83" t="str">
        <f t="shared" si="9"/>
        <v>Bus arrival delay reported</v>
      </c>
      <c r="N83">
        <v>5</v>
      </c>
      <c r="O83" t="s">
        <v>37</v>
      </c>
      <c r="P83">
        <f t="shared" si="10"/>
        <v>3</v>
      </c>
      <c r="Q83" t="str">
        <f t="shared" si="11"/>
        <v>Delayed</v>
      </c>
      <c r="R83" t="str">
        <f t="shared" si="12"/>
        <v>Off083</v>
      </c>
      <c r="S83">
        <v>14</v>
      </c>
      <c r="T83">
        <v>11</v>
      </c>
      <c r="U83">
        <v>42279</v>
      </c>
      <c r="V83">
        <v>41035</v>
      </c>
      <c r="W83" t="str">
        <f t="shared" si="13"/>
        <v>Yes</v>
      </c>
      <c r="X83" t="str">
        <f t="shared" si="14"/>
        <v>Level 3</v>
      </c>
      <c r="Y83" s="2">
        <f t="shared" si="15"/>
        <v>45897</v>
      </c>
    </row>
    <row r="84" spans="1:25" x14ac:dyDescent="0.25">
      <c r="A84" t="s">
        <v>204</v>
      </c>
      <c r="B84" t="s">
        <v>60</v>
      </c>
      <c r="C84" t="s">
        <v>12</v>
      </c>
      <c r="D84" t="s">
        <v>22</v>
      </c>
      <c r="E84" t="s">
        <v>14</v>
      </c>
      <c r="F84" s="1">
        <v>5</v>
      </c>
      <c r="G84" t="s">
        <v>15</v>
      </c>
      <c r="H84" t="s">
        <v>51</v>
      </c>
      <c r="I84" t="s">
        <v>26</v>
      </c>
      <c r="J84" t="s">
        <v>37</v>
      </c>
      <c r="K84" t="str">
        <f t="shared" si="8"/>
        <v>General Complaint</v>
      </c>
      <c r="L84" t="s">
        <v>883</v>
      </c>
      <c r="M84" t="str">
        <f t="shared" si="9"/>
        <v>General complaint reported</v>
      </c>
      <c r="N84">
        <v>2</v>
      </c>
      <c r="O84" t="s">
        <v>18</v>
      </c>
      <c r="P84">
        <f t="shared" si="10"/>
        <v>7</v>
      </c>
      <c r="Q84" t="str">
        <f t="shared" si="11"/>
        <v>Within SLA</v>
      </c>
      <c r="R84" t="str">
        <f t="shared" si="12"/>
        <v>Off084</v>
      </c>
      <c r="S84">
        <v>11</v>
      </c>
      <c r="T84">
        <v>9</v>
      </c>
      <c r="U84">
        <v>44861</v>
      </c>
      <c r="V84">
        <v>42862</v>
      </c>
      <c r="W84" t="str">
        <f t="shared" si="13"/>
        <v>No</v>
      </c>
      <c r="X84" t="str">
        <f t="shared" si="14"/>
        <v>None</v>
      </c>
      <c r="Y84" s="2">
        <f t="shared" si="15"/>
        <v>45789</v>
      </c>
    </row>
    <row r="85" spans="1:25" x14ac:dyDescent="0.25">
      <c r="A85" t="s">
        <v>205</v>
      </c>
      <c r="B85" t="s">
        <v>60</v>
      </c>
      <c r="C85" t="s">
        <v>56</v>
      </c>
      <c r="D85" t="s">
        <v>13</v>
      </c>
      <c r="E85" t="s">
        <v>42</v>
      </c>
      <c r="F85" s="1">
        <v>22</v>
      </c>
      <c r="G85" t="s">
        <v>206</v>
      </c>
      <c r="H85" t="s">
        <v>51</v>
      </c>
      <c r="I85" t="s">
        <v>26</v>
      </c>
      <c r="J85" t="s">
        <v>18</v>
      </c>
      <c r="K85" t="str">
        <f t="shared" si="8"/>
        <v>General Complaint</v>
      </c>
      <c r="L85" t="s">
        <v>884</v>
      </c>
      <c r="M85" t="str">
        <f t="shared" si="9"/>
        <v>General complaint reported</v>
      </c>
      <c r="N85">
        <v>2</v>
      </c>
      <c r="O85" t="s">
        <v>18</v>
      </c>
      <c r="P85">
        <f t="shared" si="10"/>
        <v>15</v>
      </c>
      <c r="Q85" t="str">
        <f t="shared" si="11"/>
        <v>Delayed</v>
      </c>
      <c r="R85" t="str">
        <f t="shared" si="12"/>
        <v>Off085</v>
      </c>
      <c r="S85">
        <v>2</v>
      </c>
      <c r="T85">
        <v>38</v>
      </c>
      <c r="U85">
        <v>35128</v>
      </c>
      <c r="V85">
        <v>33894</v>
      </c>
      <c r="W85" t="str">
        <f t="shared" si="13"/>
        <v>Yes</v>
      </c>
      <c r="X85" t="str">
        <f t="shared" si="14"/>
        <v>Level 1</v>
      </c>
      <c r="Y85" s="2">
        <f t="shared" si="15"/>
        <v>45927</v>
      </c>
    </row>
    <row r="86" spans="1:25" x14ac:dyDescent="0.25">
      <c r="A86" t="s">
        <v>207</v>
      </c>
      <c r="B86" t="s">
        <v>28</v>
      </c>
      <c r="C86" t="s">
        <v>76</v>
      </c>
      <c r="D86" t="s">
        <v>22</v>
      </c>
      <c r="E86" t="s">
        <v>42</v>
      </c>
      <c r="F86" s="1">
        <v>21</v>
      </c>
      <c r="G86" t="s">
        <v>208</v>
      </c>
      <c r="H86" t="s">
        <v>51</v>
      </c>
      <c r="I86" t="s">
        <v>36</v>
      </c>
      <c r="J86" t="s">
        <v>18</v>
      </c>
      <c r="K86" t="str">
        <f t="shared" si="8"/>
        <v>Road Damage</v>
      </c>
      <c r="L86" t="s">
        <v>885</v>
      </c>
      <c r="M86" t="str">
        <f t="shared" si="9"/>
        <v>Road damaged due to heavy rain</v>
      </c>
      <c r="N86">
        <v>4</v>
      </c>
      <c r="O86" t="s">
        <v>37</v>
      </c>
      <c r="P86">
        <f t="shared" si="10"/>
        <v>7</v>
      </c>
      <c r="Q86" t="str">
        <f t="shared" si="11"/>
        <v>Delayed</v>
      </c>
      <c r="R86" t="str">
        <f t="shared" si="12"/>
        <v>Off086</v>
      </c>
      <c r="S86">
        <v>15</v>
      </c>
      <c r="T86">
        <v>10</v>
      </c>
      <c r="U86">
        <v>39484</v>
      </c>
      <c r="V86">
        <v>40624</v>
      </c>
      <c r="W86" t="str">
        <f t="shared" si="13"/>
        <v>Yes</v>
      </c>
      <c r="X86" t="str">
        <f t="shared" si="14"/>
        <v>Level 2</v>
      </c>
      <c r="Y86" s="2">
        <f t="shared" si="15"/>
        <v>45710</v>
      </c>
    </row>
    <row r="87" spans="1:25" x14ac:dyDescent="0.25">
      <c r="A87" t="s">
        <v>209</v>
      </c>
      <c r="B87" t="s">
        <v>20</v>
      </c>
      <c r="C87" t="s">
        <v>12</v>
      </c>
      <c r="D87" t="s">
        <v>22</v>
      </c>
      <c r="E87" t="s">
        <v>14</v>
      </c>
      <c r="F87" s="1">
        <v>37</v>
      </c>
      <c r="G87" t="s">
        <v>199</v>
      </c>
      <c r="H87" t="s">
        <v>16</v>
      </c>
      <c r="I87" t="s">
        <v>17</v>
      </c>
      <c r="J87" t="s">
        <v>18</v>
      </c>
      <c r="K87" t="str">
        <f t="shared" si="8"/>
        <v>Garbage Collection</v>
      </c>
      <c r="L87" t="s">
        <v>881</v>
      </c>
      <c r="M87" t="str">
        <f t="shared" si="9"/>
        <v>Garbage not collected for 3 days</v>
      </c>
      <c r="N87">
        <v>4</v>
      </c>
      <c r="O87" t="s">
        <v>37</v>
      </c>
      <c r="P87">
        <f t="shared" si="10"/>
        <v>7</v>
      </c>
      <c r="Q87" t="str">
        <f t="shared" si="11"/>
        <v>Delayed</v>
      </c>
      <c r="R87" t="str">
        <f t="shared" si="12"/>
        <v>Off087</v>
      </c>
      <c r="S87">
        <v>6</v>
      </c>
      <c r="T87">
        <v>15</v>
      </c>
      <c r="U87">
        <v>11929</v>
      </c>
      <c r="V87">
        <v>10510</v>
      </c>
      <c r="W87" t="str">
        <f t="shared" si="13"/>
        <v>Yes</v>
      </c>
      <c r="X87" t="str">
        <f t="shared" si="14"/>
        <v>Level 2</v>
      </c>
      <c r="Y87" s="2">
        <f t="shared" si="15"/>
        <v>45762</v>
      </c>
    </row>
    <row r="88" spans="1:25" x14ac:dyDescent="0.25">
      <c r="A88" t="s">
        <v>210</v>
      </c>
      <c r="B88" t="s">
        <v>60</v>
      </c>
      <c r="C88" t="s">
        <v>12</v>
      </c>
      <c r="D88" t="s">
        <v>22</v>
      </c>
      <c r="E88" t="s">
        <v>14</v>
      </c>
      <c r="F88" s="1">
        <v>14</v>
      </c>
      <c r="G88" t="s">
        <v>211</v>
      </c>
      <c r="H88" t="s">
        <v>25</v>
      </c>
      <c r="I88" t="s">
        <v>65</v>
      </c>
      <c r="J88" t="s">
        <v>18</v>
      </c>
      <c r="K88" t="str">
        <f t="shared" si="8"/>
        <v>General Complaint</v>
      </c>
      <c r="L88" t="s">
        <v>882</v>
      </c>
      <c r="M88" t="str">
        <f t="shared" si="9"/>
        <v>General complaint reported</v>
      </c>
      <c r="N88">
        <v>3</v>
      </c>
      <c r="O88" t="s">
        <v>37</v>
      </c>
      <c r="P88">
        <f t="shared" si="10"/>
        <v>7</v>
      </c>
      <c r="Q88" t="str">
        <f t="shared" si="11"/>
        <v>Delayed</v>
      </c>
      <c r="R88" t="str">
        <f t="shared" si="12"/>
        <v>Off088</v>
      </c>
      <c r="S88">
        <v>6</v>
      </c>
      <c r="T88">
        <v>39</v>
      </c>
      <c r="U88">
        <v>4961</v>
      </c>
      <c r="V88">
        <v>6779</v>
      </c>
      <c r="W88" t="str">
        <f t="shared" si="13"/>
        <v>Yes</v>
      </c>
      <c r="X88" t="str">
        <f t="shared" si="14"/>
        <v>Level 2</v>
      </c>
      <c r="Y88" s="2">
        <f t="shared" si="15"/>
        <v>46032</v>
      </c>
    </row>
    <row r="89" spans="1:25" x14ac:dyDescent="0.25">
      <c r="A89" t="s">
        <v>212</v>
      </c>
      <c r="B89" t="s">
        <v>69</v>
      </c>
      <c r="C89" t="s">
        <v>84</v>
      </c>
      <c r="D89" t="s">
        <v>34</v>
      </c>
      <c r="E89" t="s">
        <v>30</v>
      </c>
      <c r="F89" s="1">
        <v>22</v>
      </c>
      <c r="G89" t="s">
        <v>213</v>
      </c>
      <c r="H89" t="s">
        <v>25</v>
      </c>
      <c r="I89" t="s">
        <v>26</v>
      </c>
      <c r="J89" t="s">
        <v>18</v>
      </c>
      <c r="K89" t="str">
        <f t="shared" si="8"/>
        <v>General Complaint</v>
      </c>
      <c r="L89" t="s">
        <v>883</v>
      </c>
      <c r="M89" t="str">
        <f t="shared" si="9"/>
        <v>General complaint reported</v>
      </c>
      <c r="N89">
        <v>2</v>
      </c>
      <c r="O89" t="s">
        <v>18</v>
      </c>
      <c r="P89">
        <f t="shared" si="10"/>
        <v>3</v>
      </c>
      <c r="Q89" t="str">
        <f t="shared" si="11"/>
        <v>Delayed</v>
      </c>
      <c r="R89" t="str">
        <f t="shared" si="12"/>
        <v>Off089</v>
      </c>
      <c r="S89">
        <v>8</v>
      </c>
      <c r="T89">
        <v>5</v>
      </c>
      <c r="U89">
        <v>12409</v>
      </c>
      <c r="V89">
        <v>13672</v>
      </c>
      <c r="W89" t="str">
        <f t="shared" si="13"/>
        <v>Yes</v>
      </c>
      <c r="X89" t="str">
        <f t="shared" si="14"/>
        <v>Level 3</v>
      </c>
      <c r="Y89" s="2">
        <f t="shared" si="15"/>
        <v>46101</v>
      </c>
    </row>
    <row r="90" spans="1:25" x14ac:dyDescent="0.25">
      <c r="A90" t="s">
        <v>214</v>
      </c>
      <c r="B90" t="s">
        <v>60</v>
      </c>
      <c r="C90" t="s">
        <v>61</v>
      </c>
      <c r="D90" t="s">
        <v>13</v>
      </c>
      <c r="E90" t="s">
        <v>42</v>
      </c>
      <c r="F90" s="1">
        <v>17</v>
      </c>
      <c r="G90" t="s">
        <v>70</v>
      </c>
      <c r="H90" t="s">
        <v>25</v>
      </c>
      <c r="I90" t="s">
        <v>17</v>
      </c>
      <c r="J90" t="s">
        <v>18</v>
      </c>
      <c r="K90" t="str">
        <f t="shared" si="8"/>
        <v>General Complaint</v>
      </c>
      <c r="L90" t="s">
        <v>884</v>
      </c>
      <c r="M90" t="str">
        <f t="shared" si="9"/>
        <v>General complaint reported</v>
      </c>
      <c r="N90">
        <v>1</v>
      </c>
      <c r="O90" t="s">
        <v>18</v>
      </c>
      <c r="P90">
        <f t="shared" si="10"/>
        <v>15</v>
      </c>
      <c r="Q90" t="str">
        <f t="shared" si="11"/>
        <v>Delayed</v>
      </c>
      <c r="R90" t="str">
        <f t="shared" si="12"/>
        <v>Off090</v>
      </c>
      <c r="S90">
        <v>6</v>
      </c>
      <c r="T90">
        <v>40</v>
      </c>
      <c r="U90">
        <v>20545</v>
      </c>
      <c r="V90">
        <v>20480</v>
      </c>
      <c r="W90" t="str">
        <f t="shared" si="13"/>
        <v>Yes</v>
      </c>
      <c r="X90" t="str">
        <f t="shared" si="14"/>
        <v>Level 1</v>
      </c>
      <c r="Y90" s="2">
        <f t="shared" si="15"/>
        <v>46141</v>
      </c>
    </row>
    <row r="91" spans="1:25" x14ac:dyDescent="0.25">
      <c r="A91" t="s">
        <v>215</v>
      </c>
      <c r="B91" t="s">
        <v>53</v>
      </c>
      <c r="C91" t="s">
        <v>76</v>
      </c>
      <c r="D91" t="s">
        <v>34</v>
      </c>
      <c r="E91" t="s">
        <v>23</v>
      </c>
      <c r="F91" s="1">
        <v>16</v>
      </c>
      <c r="G91" t="s">
        <v>216</v>
      </c>
      <c r="H91" t="s">
        <v>25</v>
      </c>
      <c r="I91" t="s">
        <v>44</v>
      </c>
      <c r="J91" t="s">
        <v>18</v>
      </c>
      <c r="K91" t="str">
        <f t="shared" si="8"/>
        <v>Public Transport Delay</v>
      </c>
      <c r="L91" t="s">
        <v>885</v>
      </c>
      <c r="M91" t="str">
        <f t="shared" si="9"/>
        <v>Bus arrival delay reported</v>
      </c>
      <c r="N91">
        <v>3</v>
      </c>
      <c r="O91" t="s">
        <v>37</v>
      </c>
      <c r="P91">
        <f t="shared" si="10"/>
        <v>3</v>
      </c>
      <c r="Q91" t="str">
        <f t="shared" si="11"/>
        <v>Delayed</v>
      </c>
      <c r="R91" t="str">
        <f t="shared" si="12"/>
        <v>Off091</v>
      </c>
      <c r="S91">
        <v>4</v>
      </c>
      <c r="T91">
        <v>12</v>
      </c>
      <c r="U91">
        <v>48601</v>
      </c>
      <c r="V91">
        <v>49660</v>
      </c>
      <c r="W91" t="str">
        <f t="shared" si="13"/>
        <v>Yes</v>
      </c>
      <c r="X91" t="str">
        <f t="shared" si="14"/>
        <v>Level 3</v>
      </c>
      <c r="Y91" s="2">
        <f t="shared" si="15"/>
        <v>45730</v>
      </c>
    </row>
    <row r="92" spans="1:25" x14ac:dyDescent="0.25">
      <c r="A92" t="s">
        <v>217</v>
      </c>
      <c r="B92" t="s">
        <v>28</v>
      </c>
      <c r="C92" t="s">
        <v>61</v>
      </c>
      <c r="D92" t="s">
        <v>22</v>
      </c>
      <c r="E92" t="s">
        <v>30</v>
      </c>
      <c r="F92" s="1">
        <v>3</v>
      </c>
      <c r="G92" t="s">
        <v>218</v>
      </c>
      <c r="H92" t="s">
        <v>47</v>
      </c>
      <c r="I92" t="s">
        <v>44</v>
      </c>
      <c r="J92" t="s">
        <v>37</v>
      </c>
      <c r="K92" t="str">
        <f t="shared" si="8"/>
        <v>Road Damage</v>
      </c>
      <c r="L92" t="s">
        <v>881</v>
      </c>
      <c r="M92" t="str">
        <f t="shared" si="9"/>
        <v>Road damaged due to heavy rain</v>
      </c>
      <c r="N92">
        <v>4</v>
      </c>
      <c r="O92" t="s">
        <v>37</v>
      </c>
      <c r="P92">
        <f t="shared" si="10"/>
        <v>7</v>
      </c>
      <c r="Q92" t="str">
        <f t="shared" si="11"/>
        <v>Within SLA</v>
      </c>
      <c r="R92" t="str">
        <f t="shared" si="12"/>
        <v>Off092</v>
      </c>
      <c r="S92">
        <v>1</v>
      </c>
      <c r="T92">
        <v>42</v>
      </c>
      <c r="U92">
        <v>46988</v>
      </c>
      <c r="V92">
        <v>45053</v>
      </c>
      <c r="W92" t="str">
        <f t="shared" si="13"/>
        <v>No</v>
      </c>
      <c r="X92" t="str">
        <f t="shared" si="14"/>
        <v>None</v>
      </c>
      <c r="Y92" s="2">
        <f t="shared" si="15"/>
        <v>46074</v>
      </c>
    </row>
    <row r="93" spans="1:25" x14ac:dyDescent="0.25">
      <c r="A93" t="s">
        <v>219</v>
      </c>
      <c r="B93" t="s">
        <v>53</v>
      </c>
      <c r="C93" t="s">
        <v>29</v>
      </c>
      <c r="D93" t="s">
        <v>13</v>
      </c>
      <c r="E93" t="s">
        <v>42</v>
      </c>
      <c r="F93" s="1">
        <v>17</v>
      </c>
      <c r="G93" t="s">
        <v>220</v>
      </c>
      <c r="H93" t="s">
        <v>51</v>
      </c>
      <c r="I93" t="s">
        <v>44</v>
      </c>
      <c r="J93" t="s">
        <v>18</v>
      </c>
      <c r="K93" t="str">
        <f t="shared" si="8"/>
        <v>Public Transport Delay</v>
      </c>
      <c r="L93" t="s">
        <v>882</v>
      </c>
      <c r="M93" t="str">
        <f t="shared" si="9"/>
        <v>Bus arrival delay reported</v>
      </c>
      <c r="N93">
        <v>3</v>
      </c>
      <c r="O93" t="s">
        <v>37</v>
      </c>
      <c r="P93">
        <f t="shared" si="10"/>
        <v>15</v>
      </c>
      <c r="Q93" t="str">
        <f t="shared" si="11"/>
        <v>Delayed</v>
      </c>
      <c r="R93" t="str">
        <f t="shared" si="12"/>
        <v>Off093</v>
      </c>
      <c r="S93">
        <v>9</v>
      </c>
      <c r="T93">
        <v>6</v>
      </c>
      <c r="U93">
        <v>23430</v>
      </c>
      <c r="V93">
        <v>22218</v>
      </c>
      <c r="W93" t="str">
        <f t="shared" si="13"/>
        <v>Yes</v>
      </c>
      <c r="X93" t="str">
        <f t="shared" si="14"/>
        <v>Level 1</v>
      </c>
      <c r="Y93" s="2">
        <f t="shared" si="15"/>
        <v>45770</v>
      </c>
    </row>
    <row r="94" spans="1:25" x14ac:dyDescent="0.25">
      <c r="A94" t="s">
        <v>221</v>
      </c>
      <c r="B94" t="s">
        <v>20</v>
      </c>
      <c r="C94" t="s">
        <v>49</v>
      </c>
      <c r="D94" t="s">
        <v>34</v>
      </c>
      <c r="E94" t="s">
        <v>23</v>
      </c>
      <c r="F94" s="1">
        <v>10</v>
      </c>
      <c r="G94" t="s">
        <v>222</v>
      </c>
      <c r="H94" t="s">
        <v>58</v>
      </c>
      <c r="I94" t="s">
        <v>26</v>
      </c>
      <c r="J94" t="s">
        <v>18</v>
      </c>
      <c r="K94" t="str">
        <f t="shared" si="8"/>
        <v>Garbage Collection</v>
      </c>
      <c r="L94" t="s">
        <v>883</v>
      </c>
      <c r="M94" t="str">
        <f t="shared" si="9"/>
        <v>Garbage not collected for 3 days</v>
      </c>
      <c r="N94">
        <v>2</v>
      </c>
      <c r="O94" t="s">
        <v>18</v>
      </c>
      <c r="P94">
        <f t="shared" si="10"/>
        <v>3</v>
      </c>
      <c r="Q94" t="str">
        <f t="shared" si="11"/>
        <v>Delayed</v>
      </c>
      <c r="R94" t="str">
        <f t="shared" si="12"/>
        <v>Off094</v>
      </c>
      <c r="S94">
        <v>15</v>
      </c>
      <c r="T94">
        <v>38</v>
      </c>
      <c r="U94">
        <v>38645</v>
      </c>
      <c r="V94">
        <v>39110</v>
      </c>
      <c r="W94" t="str">
        <f t="shared" si="13"/>
        <v>Yes</v>
      </c>
      <c r="X94" t="str">
        <f t="shared" si="14"/>
        <v>Level 3</v>
      </c>
      <c r="Y94" s="2">
        <f t="shared" si="15"/>
        <v>46203</v>
      </c>
    </row>
    <row r="95" spans="1:25" x14ac:dyDescent="0.25">
      <c r="A95" t="s">
        <v>223</v>
      </c>
      <c r="B95" t="s">
        <v>20</v>
      </c>
      <c r="C95" t="s">
        <v>84</v>
      </c>
      <c r="D95" t="s">
        <v>22</v>
      </c>
      <c r="E95" t="s">
        <v>14</v>
      </c>
      <c r="F95" s="1">
        <v>42</v>
      </c>
      <c r="G95" t="s">
        <v>224</v>
      </c>
      <c r="H95" t="s">
        <v>16</v>
      </c>
      <c r="I95" t="s">
        <v>17</v>
      </c>
      <c r="J95" t="s">
        <v>18</v>
      </c>
      <c r="K95" t="str">
        <f t="shared" si="8"/>
        <v>Garbage Collection</v>
      </c>
      <c r="L95" t="s">
        <v>884</v>
      </c>
      <c r="M95" t="str">
        <f t="shared" si="9"/>
        <v>Garbage not collected for 3 days</v>
      </c>
      <c r="N95">
        <v>5</v>
      </c>
      <c r="O95" t="s">
        <v>37</v>
      </c>
      <c r="P95">
        <f t="shared" si="10"/>
        <v>7</v>
      </c>
      <c r="Q95" t="str">
        <f t="shared" si="11"/>
        <v>Delayed</v>
      </c>
      <c r="R95" t="str">
        <f t="shared" si="12"/>
        <v>Off095</v>
      </c>
      <c r="S95">
        <v>15</v>
      </c>
      <c r="T95">
        <v>25</v>
      </c>
      <c r="U95">
        <v>19455</v>
      </c>
      <c r="V95">
        <v>20482</v>
      </c>
      <c r="W95" t="str">
        <f t="shared" si="13"/>
        <v>Yes</v>
      </c>
      <c r="X95" t="str">
        <f t="shared" si="14"/>
        <v>Level 2</v>
      </c>
      <c r="Y95" s="2">
        <f t="shared" si="15"/>
        <v>45940</v>
      </c>
    </row>
    <row r="96" spans="1:25" x14ac:dyDescent="0.25">
      <c r="A96" t="s">
        <v>225</v>
      </c>
      <c r="B96" t="s">
        <v>20</v>
      </c>
      <c r="C96" t="s">
        <v>56</v>
      </c>
      <c r="D96" t="s">
        <v>22</v>
      </c>
      <c r="E96" t="s">
        <v>23</v>
      </c>
      <c r="F96" s="1">
        <v>27</v>
      </c>
      <c r="G96" t="s">
        <v>226</v>
      </c>
      <c r="H96" t="s">
        <v>40</v>
      </c>
      <c r="I96" t="s">
        <v>44</v>
      </c>
      <c r="J96" t="s">
        <v>18</v>
      </c>
      <c r="K96" t="str">
        <f t="shared" si="8"/>
        <v>Garbage Collection</v>
      </c>
      <c r="L96" t="s">
        <v>885</v>
      </c>
      <c r="M96" t="str">
        <f t="shared" si="9"/>
        <v>Garbage not collected for 3 days</v>
      </c>
      <c r="N96">
        <v>1</v>
      </c>
      <c r="O96" t="s">
        <v>18</v>
      </c>
      <c r="P96">
        <f t="shared" si="10"/>
        <v>7</v>
      </c>
      <c r="Q96" t="str">
        <f t="shared" si="11"/>
        <v>Delayed</v>
      </c>
      <c r="R96" t="str">
        <f t="shared" si="12"/>
        <v>Off096</v>
      </c>
      <c r="S96">
        <v>3</v>
      </c>
      <c r="T96">
        <v>34</v>
      </c>
      <c r="U96">
        <v>37374</v>
      </c>
      <c r="V96">
        <v>35559</v>
      </c>
      <c r="W96" t="str">
        <f t="shared" si="13"/>
        <v>Yes</v>
      </c>
      <c r="X96" t="str">
        <f t="shared" si="14"/>
        <v>Level 2</v>
      </c>
      <c r="Y96" s="2">
        <f t="shared" si="15"/>
        <v>45860</v>
      </c>
    </row>
    <row r="97" spans="1:25" x14ac:dyDescent="0.25">
      <c r="A97" t="s">
        <v>227</v>
      </c>
      <c r="B97" t="s">
        <v>28</v>
      </c>
      <c r="C97" t="s">
        <v>12</v>
      </c>
      <c r="D97" t="s">
        <v>34</v>
      </c>
      <c r="E97" t="s">
        <v>14</v>
      </c>
      <c r="F97" s="1">
        <v>35</v>
      </c>
      <c r="G97" t="s">
        <v>228</v>
      </c>
      <c r="H97" t="s">
        <v>40</v>
      </c>
      <c r="I97" t="s">
        <v>44</v>
      </c>
      <c r="J97" t="s">
        <v>18</v>
      </c>
      <c r="K97" t="str">
        <f t="shared" si="8"/>
        <v>Road Damage</v>
      </c>
      <c r="L97" t="s">
        <v>881</v>
      </c>
      <c r="M97" t="str">
        <f t="shared" si="9"/>
        <v>Road damaged due to heavy rain</v>
      </c>
      <c r="N97">
        <v>1</v>
      </c>
      <c r="O97" t="s">
        <v>18</v>
      </c>
      <c r="P97">
        <f t="shared" si="10"/>
        <v>3</v>
      </c>
      <c r="Q97" t="str">
        <f t="shared" si="11"/>
        <v>Delayed</v>
      </c>
      <c r="R97" t="str">
        <f t="shared" si="12"/>
        <v>Off097</v>
      </c>
      <c r="S97">
        <v>4</v>
      </c>
      <c r="T97">
        <v>37</v>
      </c>
      <c r="U97">
        <v>48792</v>
      </c>
      <c r="V97">
        <v>48416</v>
      </c>
      <c r="W97" t="str">
        <f t="shared" si="13"/>
        <v>Yes</v>
      </c>
      <c r="X97" t="str">
        <f t="shared" si="14"/>
        <v>Level 3</v>
      </c>
      <c r="Y97" s="2">
        <f t="shared" si="15"/>
        <v>45829</v>
      </c>
    </row>
    <row r="98" spans="1:25" x14ac:dyDescent="0.25">
      <c r="A98" t="s">
        <v>229</v>
      </c>
      <c r="B98" t="s">
        <v>11</v>
      </c>
      <c r="C98" t="s">
        <v>21</v>
      </c>
      <c r="D98" t="s">
        <v>22</v>
      </c>
      <c r="E98" t="s">
        <v>42</v>
      </c>
      <c r="F98" s="1">
        <v>27</v>
      </c>
      <c r="G98" t="s">
        <v>230</v>
      </c>
      <c r="H98" t="s">
        <v>47</v>
      </c>
      <c r="I98" t="s">
        <v>44</v>
      </c>
      <c r="J98" t="s">
        <v>18</v>
      </c>
      <c r="K98" t="str">
        <f t="shared" si="8"/>
        <v>Water Leakage</v>
      </c>
      <c r="L98" t="s">
        <v>882</v>
      </c>
      <c r="M98" t="str">
        <f t="shared" si="9"/>
        <v>Water pipe leakage near school</v>
      </c>
      <c r="N98">
        <v>4</v>
      </c>
      <c r="O98" t="s">
        <v>37</v>
      </c>
      <c r="P98">
        <f t="shared" si="10"/>
        <v>7</v>
      </c>
      <c r="Q98" t="str">
        <f t="shared" si="11"/>
        <v>Delayed</v>
      </c>
      <c r="R98" t="str">
        <f t="shared" si="12"/>
        <v>Off098</v>
      </c>
      <c r="S98">
        <v>15</v>
      </c>
      <c r="T98">
        <v>44</v>
      </c>
      <c r="U98">
        <v>16899</v>
      </c>
      <c r="V98">
        <v>15289</v>
      </c>
      <c r="W98" t="str">
        <f t="shared" si="13"/>
        <v>Yes</v>
      </c>
      <c r="X98" t="str">
        <f t="shared" si="14"/>
        <v>Level 2</v>
      </c>
      <c r="Y98" s="2">
        <f t="shared" si="15"/>
        <v>46020</v>
      </c>
    </row>
    <row r="99" spans="1:25" x14ac:dyDescent="0.25">
      <c r="A99" t="s">
        <v>231</v>
      </c>
      <c r="B99" t="s">
        <v>20</v>
      </c>
      <c r="C99" t="s">
        <v>49</v>
      </c>
      <c r="D99" t="s">
        <v>13</v>
      </c>
      <c r="E99" t="s">
        <v>30</v>
      </c>
      <c r="F99" s="1">
        <v>23</v>
      </c>
      <c r="G99" t="s">
        <v>232</v>
      </c>
      <c r="H99" t="s">
        <v>51</v>
      </c>
      <c r="I99" t="s">
        <v>17</v>
      </c>
      <c r="J99" t="s">
        <v>18</v>
      </c>
      <c r="K99" t="str">
        <f t="shared" si="8"/>
        <v>Garbage Collection</v>
      </c>
      <c r="L99" t="s">
        <v>883</v>
      </c>
      <c r="M99" t="str">
        <f t="shared" si="9"/>
        <v>Garbage not collected for 3 days</v>
      </c>
      <c r="N99">
        <v>4</v>
      </c>
      <c r="O99" t="s">
        <v>37</v>
      </c>
      <c r="P99">
        <f t="shared" si="10"/>
        <v>15</v>
      </c>
      <c r="Q99" t="str">
        <f t="shared" si="11"/>
        <v>Delayed</v>
      </c>
      <c r="R99" t="str">
        <f t="shared" si="12"/>
        <v>Off099</v>
      </c>
      <c r="S99">
        <v>15</v>
      </c>
      <c r="T99">
        <v>50</v>
      </c>
      <c r="U99">
        <v>14741</v>
      </c>
      <c r="V99">
        <v>15208</v>
      </c>
      <c r="W99" t="str">
        <f t="shared" si="13"/>
        <v>Yes</v>
      </c>
      <c r="X99" t="str">
        <f t="shared" si="14"/>
        <v>Level 1</v>
      </c>
      <c r="Y99" s="2">
        <f t="shared" si="15"/>
        <v>45760</v>
      </c>
    </row>
    <row r="100" spans="1:25" x14ac:dyDescent="0.25">
      <c r="A100" t="s">
        <v>233</v>
      </c>
      <c r="B100" t="s">
        <v>69</v>
      </c>
      <c r="C100" t="s">
        <v>84</v>
      </c>
      <c r="D100" t="s">
        <v>13</v>
      </c>
      <c r="E100" t="s">
        <v>30</v>
      </c>
      <c r="F100" s="1">
        <v>1</v>
      </c>
      <c r="G100" t="s">
        <v>234</v>
      </c>
      <c r="H100" t="s">
        <v>25</v>
      </c>
      <c r="I100" t="s">
        <v>17</v>
      </c>
      <c r="J100" t="s">
        <v>37</v>
      </c>
      <c r="K100" t="str">
        <f t="shared" si="8"/>
        <v>General Complaint</v>
      </c>
      <c r="L100" t="s">
        <v>884</v>
      </c>
      <c r="M100" t="str">
        <f t="shared" si="9"/>
        <v>General complaint reported</v>
      </c>
      <c r="N100">
        <v>1</v>
      </c>
      <c r="O100" t="s">
        <v>18</v>
      </c>
      <c r="P100">
        <f t="shared" si="10"/>
        <v>15</v>
      </c>
      <c r="Q100" t="str">
        <f t="shared" si="11"/>
        <v>Within SLA</v>
      </c>
      <c r="R100" t="str">
        <f t="shared" si="12"/>
        <v>Off100</v>
      </c>
      <c r="S100">
        <v>7</v>
      </c>
      <c r="T100">
        <v>23</v>
      </c>
      <c r="U100">
        <v>26854</v>
      </c>
      <c r="V100">
        <v>26811</v>
      </c>
      <c r="W100" t="str">
        <f t="shared" si="13"/>
        <v>No</v>
      </c>
      <c r="X100" t="str">
        <f t="shared" si="14"/>
        <v>None</v>
      </c>
      <c r="Y100" s="2">
        <f t="shared" si="15"/>
        <v>45784</v>
      </c>
    </row>
    <row r="101" spans="1:25" x14ac:dyDescent="0.25">
      <c r="A101" t="s">
        <v>235</v>
      </c>
      <c r="B101" t="s">
        <v>53</v>
      </c>
      <c r="C101" t="s">
        <v>33</v>
      </c>
      <c r="D101" t="s">
        <v>22</v>
      </c>
      <c r="E101" t="s">
        <v>30</v>
      </c>
      <c r="F101" s="1">
        <v>33</v>
      </c>
      <c r="G101" t="s">
        <v>236</v>
      </c>
      <c r="H101" t="s">
        <v>51</v>
      </c>
      <c r="I101" t="s">
        <v>36</v>
      </c>
      <c r="J101" t="s">
        <v>18</v>
      </c>
      <c r="K101" t="str">
        <f t="shared" si="8"/>
        <v>Public Transport Delay</v>
      </c>
      <c r="L101" t="s">
        <v>885</v>
      </c>
      <c r="M101" t="str">
        <f t="shared" si="9"/>
        <v>Bus arrival delay reported</v>
      </c>
      <c r="N101">
        <v>3</v>
      </c>
      <c r="O101" t="s">
        <v>37</v>
      </c>
      <c r="P101">
        <f t="shared" si="10"/>
        <v>7</v>
      </c>
      <c r="Q101" t="str">
        <f t="shared" si="11"/>
        <v>Delayed</v>
      </c>
      <c r="R101" t="str">
        <f t="shared" si="12"/>
        <v>Off101</v>
      </c>
      <c r="S101">
        <v>1</v>
      </c>
      <c r="T101">
        <v>12</v>
      </c>
      <c r="U101">
        <v>24710</v>
      </c>
      <c r="V101">
        <v>25891</v>
      </c>
      <c r="W101" t="str">
        <f t="shared" si="13"/>
        <v>Yes</v>
      </c>
      <c r="X101" t="str">
        <f t="shared" si="14"/>
        <v>Level 2</v>
      </c>
      <c r="Y101" s="2">
        <f t="shared" si="15"/>
        <v>45856</v>
      </c>
    </row>
    <row r="102" spans="1:25" x14ac:dyDescent="0.25">
      <c r="A102" t="s">
        <v>237</v>
      </c>
      <c r="B102" t="s">
        <v>53</v>
      </c>
      <c r="C102" t="s">
        <v>61</v>
      </c>
      <c r="D102" t="s">
        <v>13</v>
      </c>
      <c r="E102" t="s">
        <v>42</v>
      </c>
      <c r="F102" s="1">
        <v>14</v>
      </c>
      <c r="G102" t="s">
        <v>108</v>
      </c>
      <c r="H102" t="s">
        <v>40</v>
      </c>
      <c r="I102" t="s">
        <v>26</v>
      </c>
      <c r="J102" t="s">
        <v>18</v>
      </c>
      <c r="K102" t="str">
        <f t="shared" si="8"/>
        <v>Public Transport Delay</v>
      </c>
      <c r="L102" t="s">
        <v>881</v>
      </c>
      <c r="M102" t="str">
        <f t="shared" si="9"/>
        <v>Bus arrival delay reported</v>
      </c>
      <c r="N102">
        <v>3</v>
      </c>
      <c r="O102" t="s">
        <v>37</v>
      </c>
      <c r="P102">
        <f t="shared" si="10"/>
        <v>15</v>
      </c>
      <c r="Q102" t="str">
        <f t="shared" si="11"/>
        <v>Within SLA</v>
      </c>
      <c r="R102" t="str">
        <f t="shared" si="12"/>
        <v>Off102</v>
      </c>
      <c r="S102">
        <v>11</v>
      </c>
      <c r="T102">
        <v>10</v>
      </c>
      <c r="U102">
        <v>41638</v>
      </c>
      <c r="V102">
        <v>41452</v>
      </c>
      <c r="W102" t="str">
        <f t="shared" si="13"/>
        <v>No</v>
      </c>
      <c r="X102" t="str">
        <f t="shared" si="14"/>
        <v>None</v>
      </c>
      <c r="Y102" s="2">
        <f t="shared" si="15"/>
        <v>46173</v>
      </c>
    </row>
    <row r="103" spans="1:25" x14ac:dyDescent="0.25">
      <c r="A103" t="s">
        <v>238</v>
      </c>
      <c r="B103" t="s">
        <v>11</v>
      </c>
      <c r="C103" t="s">
        <v>21</v>
      </c>
      <c r="D103" t="s">
        <v>13</v>
      </c>
      <c r="E103" t="s">
        <v>14</v>
      </c>
      <c r="F103" s="1">
        <v>45</v>
      </c>
      <c r="G103" t="s">
        <v>239</v>
      </c>
      <c r="H103" t="s">
        <v>16</v>
      </c>
      <c r="I103" t="s">
        <v>65</v>
      </c>
      <c r="J103" t="s">
        <v>18</v>
      </c>
      <c r="K103" t="str">
        <f t="shared" si="8"/>
        <v>Water Leakage</v>
      </c>
      <c r="L103" t="s">
        <v>882</v>
      </c>
      <c r="M103" t="str">
        <f t="shared" si="9"/>
        <v>Water pipe leakage near school</v>
      </c>
      <c r="N103">
        <v>4</v>
      </c>
      <c r="O103" t="s">
        <v>37</v>
      </c>
      <c r="P103">
        <f t="shared" si="10"/>
        <v>15</v>
      </c>
      <c r="Q103" t="str">
        <f t="shared" si="11"/>
        <v>Delayed</v>
      </c>
      <c r="R103" t="str">
        <f t="shared" si="12"/>
        <v>Off103</v>
      </c>
      <c r="S103">
        <v>14</v>
      </c>
      <c r="T103">
        <v>14</v>
      </c>
      <c r="U103">
        <v>41249</v>
      </c>
      <c r="V103">
        <v>40370</v>
      </c>
      <c r="W103" t="str">
        <f t="shared" si="13"/>
        <v>Yes</v>
      </c>
      <c r="X103" t="str">
        <f t="shared" si="14"/>
        <v>Level 1</v>
      </c>
      <c r="Y103" s="2">
        <f t="shared" si="15"/>
        <v>45790</v>
      </c>
    </row>
    <row r="104" spans="1:25" x14ac:dyDescent="0.25">
      <c r="A104" t="s">
        <v>240</v>
      </c>
      <c r="B104" t="s">
        <v>53</v>
      </c>
      <c r="C104" t="s">
        <v>56</v>
      </c>
      <c r="D104" t="s">
        <v>13</v>
      </c>
      <c r="E104" t="s">
        <v>23</v>
      </c>
      <c r="F104" s="1">
        <v>19</v>
      </c>
      <c r="G104" t="s">
        <v>241</v>
      </c>
      <c r="H104" t="s">
        <v>51</v>
      </c>
      <c r="I104" t="s">
        <v>26</v>
      </c>
      <c r="J104" t="s">
        <v>18</v>
      </c>
      <c r="K104" t="str">
        <f t="shared" si="8"/>
        <v>Public Transport Delay</v>
      </c>
      <c r="L104" t="s">
        <v>883</v>
      </c>
      <c r="M104" t="str">
        <f t="shared" si="9"/>
        <v>Bus arrival delay reported</v>
      </c>
      <c r="N104">
        <v>4</v>
      </c>
      <c r="O104" t="s">
        <v>37</v>
      </c>
      <c r="P104">
        <f t="shared" si="10"/>
        <v>15</v>
      </c>
      <c r="Q104" t="str">
        <f t="shared" si="11"/>
        <v>Delayed</v>
      </c>
      <c r="R104" t="str">
        <f t="shared" si="12"/>
        <v>Off104</v>
      </c>
      <c r="S104">
        <v>2</v>
      </c>
      <c r="T104">
        <v>38</v>
      </c>
      <c r="U104">
        <v>5138</v>
      </c>
      <c r="V104">
        <v>6847</v>
      </c>
      <c r="W104" t="str">
        <f t="shared" si="13"/>
        <v>Yes</v>
      </c>
      <c r="X104" t="str">
        <f t="shared" si="14"/>
        <v>Level 1</v>
      </c>
      <c r="Y104" s="2">
        <f t="shared" si="15"/>
        <v>46001</v>
      </c>
    </row>
    <row r="105" spans="1:25" x14ac:dyDescent="0.25">
      <c r="A105" t="s">
        <v>242</v>
      </c>
      <c r="B105" t="s">
        <v>28</v>
      </c>
      <c r="C105" t="s">
        <v>56</v>
      </c>
      <c r="D105" t="s">
        <v>34</v>
      </c>
      <c r="E105" t="s">
        <v>23</v>
      </c>
      <c r="F105" s="1">
        <v>12</v>
      </c>
      <c r="G105" t="s">
        <v>243</v>
      </c>
      <c r="H105" t="s">
        <v>51</v>
      </c>
      <c r="I105" t="s">
        <v>36</v>
      </c>
      <c r="J105" t="s">
        <v>18</v>
      </c>
      <c r="K105" t="str">
        <f t="shared" si="8"/>
        <v>Road Damage</v>
      </c>
      <c r="L105" t="s">
        <v>884</v>
      </c>
      <c r="M105" t="str">
        <f t="shared" si="9"/>
        <v>Road damaged due to heavy rain</v>
      </c>
      <c r="N105">
        <v>3</v>
      </c>
      <c r="O105" t="s">
        <v>37</v>
      </c>
      <c r="P105">
        <f t="shared" si="10"/>
        <v>3</v>
      </c>
      <c r="Q105" t="str">
        <f t="shared" si="11"/>
        <v>Delayed</v>
      </c>
      <c r="R105" t="str">
        <f t="shared" si="12"/>
        <v>Off105</v>
      </c>
      <c r="S105">
        <v>9</v>
      </c>
      <c r="T105">
        <v>28</v>
      </c>
      <c r="U105">
        <v>31596</v>
      </c>
      <c r="V105">
        <v>30272</v>
      </c>
      <c r="W105" t="str">
        <f t="shared" si="13"/>
        <v>Yes</v>
      </c>
      <c r="X105" t="str">
        <f t="shared" si="14"/>
        <v>Level 3</v>
      </c>
      <c r="Y105" s="2">
        <f t="shared" si="15"/>
        <v>46177</v>
      </c>
    </row>
    <row r="106" spans="1:25" x14ac:dyDescent="0.25">
      <c r="A106" t="s">
        <v>244</v>
      </c>
      <c r="B106" t="s">
        <v>53</v>
      </c>
      <c r="C106" t="s">
        <v>33</v>
      </c>
      <c r="D106" t="s">
        <v>22</v>
      </c>
      <c r="E106" t="s">
        <v>42</v>
      </c>
      <c r="F106" s="1">
        <v>10</v>
      </c>
      <c r="G106" t="s">
        <v>245</v>
      </c>
      <c r="H106" t="s">
        <v>16</v>
      </c>
      <c r="I106" t="s">
        <v>36</v>
      </c>
      <c r="J106" t="s">
        <v>18</v>
      </c>
      <c r="K106" t="str">
        <f t="shared" si="8"/>
        <v>Public Transport Delay</v>
      </c>
      <c r="L106" t="s">
        <v>885</v>
      </c>
      <c r="M106" t="str">
        <f t="shared" si="9"/>
        <v>Bus arrival delay reported</v>
      </c>
      <c r="N106">
        <v>3</v>
      </c>
      <c r="O106" t="s">
        <v>37</v>
      </c>
      <c r="P106">
        <f t="shared" si="10"/>
        <v>7</v>
      </c>
      <c r="Q106" t="str">
        <f t="shared" si="11"/>
        <v>Delayed</v>
      </c>
      <c r="R106" t="str">
        <f t="shared" si="12"/>
        <v>Off106</v>
      </c>
      <c r="S106">
        <v>1</v>
      </c>
      <c r="T106">
        <v>35</v>
      </c>
      <c r="U106">
        <v>30272</v>
      </c>
      <c r="V106">
        <v>28797</v>
      </c>
      <c r="W106" t="str">
        <f t="shared" si="13"/>
        <v>Yes</v>
      </c>
      <c r="X106" t="str">
        <f t="shared" si="14"/>
        <v>Level 2</v>
      </c>
      <c r="Y106" s="2">
        <f t="shared" si="15"/>
        <v>46047</v>
      </c>
    </row>
    <row r="107" spans="1:25" x14ac:dyDescent="0.25">
      <c r="A107" t="s">
        <v>246</v>
      </c>
      <c r="B107" t="s">
        <v>28</v>
      </c>
      <c r="C107" t="s">
        <v>61</v>
      </c>
      <c r="D107" t="s">
        <v>34</v>
      </c>
      <c r="E107" t="s">
        <v>42</v>
      </c>
      <c r="F107" s="1">
        <v>23</v>
      </c>
      <c r="G107" t="s">
        <v>247</v>
      </c>
      <c r="H107" t="s">
        <v>16</v>
      </c>
      <c r="I107" t="s">
        <v>36</v>
      </c>
      <c r="J107" t="s">
        <v>18</v>
      </c>
      <c r="K107" t="str">
        <f t="shared" si="8"/>
        <v>Road Damage</v>
      </c>
      <c r="L107" t="s">
        <v>881</v>
      </c>
      <c r="M107" t="str">
        <f t="shared" si="9"/>
        <v>Road damaged due to heavy rain</v>
      </c>
      <c r="N107">
        <v>1</v>
      </c>
      <c r="O107" t="s">
        <v>18</v>
      </c>
      <c r="P107">
        <f t="shared" si="10"/>
        <v>3</v>
      </c>
      <c r="Q107" t="str">
        <f t="shared" si="11"/>
        <v>Delayed</v>
      </c>
      <c r="R107" t="str">
        <f t="shared" si="12"/>
        <v>Off107</v>
      </c>
      <c r="S107">
        <v>12</v>
      </c>
      <c r="T107">
        <v>26</v>
      </c>
      <c r="U107">
        <v>15133</v>
      </c>
      <c r="V107">
        <v>13569</v>
      </c>
      <c r="W107" t="str">
        <f t="shared" si="13"/>
        <v>Yes</v>
      </c>
      <c r="X107" t="str">
        <f t="shared" si="14"/>
        <v>Level 3</v>
      </c>
      <c r="Y107" s="2">
        <f t="shared" si="15"/>
        <v>46153</v>
      </c>
    </row>
    <row r="108" spans="1:25" x14ac:dyDescent="0.25">
      <c r="A108" t="s">
        <v>248</v>
      </c>
      <c r="B108" t="s">
        <v>20</v>
      </c>
      <c r="C108" t="s">
        <v>76</v>
      </c>
      <c r="D108" t="s">
        <v>13</v>
      </c>
      <c r="E108" t="s">
        <v>14</v>
      </c>
      <c r="F108" s="1">
        <v>39</v>
      </c>
      <c r="G108" t="s">
        <v>249</v>
      </c>
      <c r="H108" t="s">
        <v>16</v>
      </c>
      <c r="I108" t="s">
        <v>26</v>
      </c>
      <c r="J108" t="s">
        <v>18</v>
      </c>
      <c r="K108" t="str">
        <f t="shared" si="8"/>
        <v>Garbage Collection</v>
      </c>
      <c r="L108" t="s">
        <v>882</v>
      </c>
      <c r="M108" t="str">
        <f t="shared" si="9"/>
        <v>Garbage not collected for 3 days</v>
      </c>
      <c r="N108">
        <v>2</v>
      </c>
      <c r="O108" t="s">
        <v>18</v>
      </c>
      <c r="P108">
        <f t="shared" si="10"/>
        <v>15</v>
      </c>
      <c r="Q108" t="str">
        <f t="shared" si="11"/>
        <v>Delayed</v>
      </c>
      <c r="R108" t="str">
        <f t="shared" si="12"/>
        <v>Off108</v>
      </c>
      <c r="S108">
        <v>2</v>
      </c>
      <c r="T108">
        <v>5</v>
      </c>
      <c r="U108">
        <v>29474</v>
      </c>
      <c r="V108">
        <v>30020</v>
      </c>
      <c r="W108" t="str">
        <f t="shared" si="13"/>
        <v>Yes</v>
      </c>
      <c r="X108" t="str">
        <f t="shared" si="14"/>
        <v>Level 1</v>
      </c>
      <c r="Y108" s="2">
        <f t="shared" si="15"/>
        <v>46172</v>
      </c>
    </row>
    <row r="109" spans="1:25" x14ac:dyDescent="0.25">
      <c r="A109" t="s">
        <v>250</v>
      </c>
      <c r="B109" t="s">
        <v>53</v>
      </c>
      <c r="C109" t="s">
        <v>61</v>
      </c>
      <c r="D109" t="s">
        <v>13</v>
      </c>
      <c r="E109" t="s">
        <v>42</v>
      </c>
      <c r="F109" s="1">
        <v>14</v>
      </c>
      <c r="G109" t="s">
        <v>110</v>
      </c>
      <c r="H109" t="s">
        <v>25</v>
      </c>
      <c r="I109" t="s">
        <v>36</v>
      </c>
      <c r="J109" t="s">
        <v>18</v>
      </c>
      <c r="K109" t="str">
        <f t="shared" si="8"/>
        <v>Public Transport Delay</v>
      </c>
      <c r="L109" t="s">
        <v>883</v>
      </c>
      <c r="M109" t="str">
        <f t="shared" si="9"/>
        <v>Bus arrival delay reported</v>
      </c>
      <c r="N109">
        <v>2</v>
      </c>
      <c r="O109" t="s">
        <v>18</v>
      </c>
      <c r="P109">
        <f t="shared" si="10"/>
        <v>15</v>
      </c>
      <c r="Q109" t="str">
        <f t="shared" si="11"/>
        <v>Within SLA</v>
      </c>
      <c r="R109" t="str">
        <f t="shared" si="12"/>
        <v>Off109</v>
      </c>
      <c r="S109">
        <v>14</v>
      </c>
      <c r="T109">
        <v>36</v>
      </c>
      <c r="U109">
        <v>38654</v>
      </c>
      <c r="V109">
        <v>37160</v>
      </c>
      <c r="W109" t="str">
        <f t="shared" si="13"/>
        <v>No</v>
      </c>
      <c r="X109" t="str">
        <f t="shared" si="14"/>
        <v>None</v>
      </c>
      <c r="Y109" s="2">
        <f t="shared" si="15"/>
        <v>46096</v>
      </c>
    </row>
    <row r="110" spans="1:25" x14ac:dyDescent="0.25">
      <c r="A110" t="s">
        <v>251</v>
      </c>
      <c r="B110" t="s">
        <v>69</v>
      </c>
      <c r="C110" t="s">
        <v>21</v>
      </c>
      <c r="D110" t="s">
        <v>13</v>
      </c>
      <c r="E110" t="s">
        <v>14</v>
      </c>
      <c r="F110" s="1">
        <v>5</v>
      </c>
      <c r="G110" t="s">
        <v>252</v>
      </c>
      <c r="H110" t="s">
        <v>16</v>
      </c>
      <c r="I110" t="s">
        <v>65</v>
      </c>
      <c r="J110" t="s">
        <v>37</v>
      </c>
      <c r="K110" t="str">
        <f t="shared" si="8"/>
        <v>General Complaint</v>
      </c>
      <c r="L110" t="s">
        <v>884</v>
      </c>
      <c r="M110" t="str">
        <f t="shared" si="9"/>
        <v>General complaint reported</v>
      </c>
      <c r="N110">
        <v>5</v>
      </c>
      <c r="O110" t="s">
        <v>37</v>
      </c>
      <c r="P110">
        <f t="shared" si="10"/>
        <v>15</v>
      </c>
      <c r="Q110" t="str">
        <f t="shared" si="11"/>
        <v>Within SLA</v>
      </c>
      <c r="R110" t="str">
        <f t="shared" si="12"/>
        <v>Off110</v>
      </c>
      <c r="S110">
        <v>15</v>
      </c>
      <c r="T110">
        <v>11</v>
      </c>
      <c r="U110">
        <v>34944</v>
      </c>
      <c r="V110">
        <v>36752</v>
      </c>
      <c r="W110" t="str">
        <f t="shared" si="13"/>
        <v>No</v>
      </c>
      <c r="X110" t="str">
        <f t="shared" si="14"/>
        <v>None</v>
      </c>
      <c r="Y110" s="2">
        <f t="shared" si="15"/>
        <v>45905</v>
      </c>
    </row>
    <row r="111" spans="1:25" x14ac:dyDescent="0.25">
      <c r="A111" t="s">
        <v>253</v>
      </c>
      <c r="B111" t="s">
        <v>69</v>
      </c>
      <c r="C111" t="s">
        <v>56</v>
      </c>
      <c r="D111" t="s">
        <v>13</v>
      </c>
      <c r="E111" t="s">
        <v>14</v>
      </c>
      <c r="F111" s="1">
        <v>9</v>
      </c>
      <c r="G111" t="s">
        <v>254</v>
      </c>
      <c r="H111" t="s">
        <v>51</v>
      </c>
      <c r="I111" t="s">
        <v>17</v>
      </c>
      <c r="J111" t="s">
        <v>18</v>
      </c>
      <c r="K111" t="str">
        <f t="shared" si="8"/>
        <v>General Complaint</v>
      </c>
      <c r="L111" t="s">
        <v>885</v>
      </c>
      <c r="M111" t="str">
        <f t="shared" si="9"/>
        <v>General complaint reported</v>
      </c>
      <c r="N111">
        <v>4</v>
      </c>
      <c r="O111" t="s">
        <v>37</v>
      </c>
      <c r="P111">
        <f t="shared" si="10"/>
        <v>15</v>
      </c>
      <c r="Q111" t="str">
        <f t="shared" si="11"/>
        <v>Within SLA</v>
      </c>
      <c r="R111" t="str">
        <f t="shared" si="12"/>
        <v>Off111</v>
      </c>
      <c r="S111">
        <v>10</v>
      </c>
      <c r="T111">
        <v>16</v>
      </c>
      <c r="U111">
        <v>20985</v>
      </c>
      <c r="V111">
        <v>19634</v>
      </c>
      <c r="W111" t="str">
        <f t="shared" si="13"/>
        <v>No</v>
      </c>
      <c r="X111" t="str">
        <f t="shared" si="14"/>
        <v>None</v>
      </c>
      <c r="Y111" s="2">
        <f t="shared" si="15"/>
        <v>45987</v>
      </c>
    </row>
    <row r="112" spans="1:25" x14ac:dyDescent="0.25">
      <c r="A112" t="s">
        <v>255</v>
      </c>
      <c r="B112" t="s">
        <v>20</v>
      </c>
      <c r="C112" t="s">
        <v>12</v>
      </c>
      <c r="D112" t="s">
        <v>22</v>
      </c>
      <c r="E112" t="s">
        <v>30</v>
      </c>
      <c r="F112" s="1">
        <v>42</v>
      </c>
      <c r="G112" t="s">
        <v>234</v>
      </c>
      <c r="H112" t="s">
        <v>51</v>
      </c>
      <c r="I112" t="s">
        <v>36</v>
      </c>
      <c r="J112" t="s">
        <v>18</v>
      </c>
      <c r="K112" t="str">
        <f t="shared" si="8"/>
        <v>Garbage Collection</v>
      </c>
      <c r="L112" t="s">
        <v>881</v>
      </c>
      <c r="M112" t="str">
        <f t="shared" si="9"/>
        <v>Garbage not collected for 3 days</v>
      </c>
      <c r="N112">
        <v>4</v>
      </c>
      <c r="O112" t="s">
        <v>37</v>
      </c>
      <c r="P112">
        <f t="shared" si="10"/>
        <v>7</v>
      </c>
      <c r="Q112" t="str">
        <f t="shared" si="11"/>
        <v>Delayed</v>
      </c>
      <c r="R112" t="str">
        <f t="shared" si="12"/>
        <v>Off112</v>
      </c>
      <c r="S112">
        <v>11</v>
      </c>
      <c r="T112">
        <v>44</v>
      </c>
      <c r="U112">
        <v>38997</v>
      </c>
      <c r="V112">
        <v>39404</v>
      </c>
      <c r="W112" t="str">
        <f t="shared" si="13"/>
        <v>Yes</v>
      </c>
      <c r="X112" t="str">
        <f t="shared" si="14"/>
        <v>Level 2</v>
      </c>
      <c r="Y112" s="2">
        <f t="shared" si="15"/>
        <v>45825</v>
      </c>
    </row>
    <row r="113" spans="1:25" x14ac:dyDescent="0.25">
      <c r="A113" t="s">
        <v>256</v>
      </c>
      <c r="B113" t="s">
        <v>11</v>
      </c>
      <c r="C113" t="s">
        <v>76</v>
      </c>
      <c r="D113" t="s">
        <v>13</v>
      </c>
      <c r="E113" t="s">
        <v>30</v>
      </c>
      <c r="F113" s="1">
        <v>12</v>
      </c>
      <c r="G113" t="s">
        <v>257</v>
      </c>
      <c r="H113" t="s">
        <v>25</v>
      </c>
      <c r="I113" t="s">
        <v>36</v>
      </c>
      <c r="J113" t="s">
        <v>18</v>
      </c>
      <c r="K113" t="str">
        <f t="shared" si="8"/>
        <v>Water Leakage</v>
      </c>
      <c r="L113" t="s">
        <v>882</v>
      </c>
      <c r="M113" t="str">
        <f t="shared" si="9"/>
        <v>Water pipe leakage near school</v>
      </c>
      <c r="N113">
        <v>2</v>
      </c>
      <c r="O113" t="s">
        <v>18</v>
      </c>
      <c r="P113">
        <f t="shared" si="10"/>
        <v>15</v>
      </c>
      <c r="Q113" t="str">
        <f t="shared" si="11"/>
        <v>Within SLA</v>
      </c>
      <c r="R113" t="str">
        <f t="shared" si="12"/>
        <v>Off113</v>
      </c>
      <c r="S113">
        <v>6</v>
      </c>
      <c r="T113">
        <v>8</v>
      </c>
      <c r="U113">
        <v>48044</v>
      </c>
      <c r="V113">
        <v>46184</v>
      </c>
      <c r="W113" t="str">
        <f t="shared" si="13"/>
        <v>No</v>
      </c>
      <c r="X113" t="str">
        <f t="shared" si="14"/>
        <v>None</v>
      </c>
      <c r="Y113" s="2">
        <f t="shared" si="15"/>
        <v>45727</v>
      </c>
    </row>
    <row r="114" spans="1:25" x14ac:dyDescent="0.25">
      <c r="A114" t="s">
        <v>258</v>
      </c>
      <c r="B114" t="s">
        <v>11</v>
      </c>
      <c r="C114" t="s">
        <v>29</v>
      </c>
      <c r="D114" t="s">
        <v>22</v>
      </c>
      <c r="E114" t="s">
        <v>42</v>
      </c>
      <c r="F114" s="1">
        <v>6</v>
      </c>
      <c r="G114" t="s">
        <v>259</v>
      </c>
      <c r="H114" t="s">
        <v>40</v>
      </c>
      <c r="I114" t="s">
        <v>17</v>
      </c>
      <c r="J114" t="s">
        <v>37</v>
      </c>
      <c r="K114" t="str">
        <f t="shared" si="8"/>
        <v>Water Leakage</v>
      </c>
      <c r="L114" t="s">
        <v>883</v>
      </c>
      <c r="M114" t="str">
        <f t="shared" si="9"/>
        <v>Water pipe leakage near school</v>
      </c>
      <c r="N114">
        <v>4</v>
      </c>
      <c r="O114" t="s">
        <v>37</v>
      </c>
      <c r="P114">
        <f t="shared" si="10"/>
        <v>7</v>
      </c>
      <c r="Q114" t="str">
        <f t="shared" si="11"/>
        <v>Within SLA</v>
      </c>
      <c r="R114" t="str">
        <f t="shared" si="12"/>
        <v>Off114</v>
      </c>
      <c r="S114">
        <v>7</v>
      </c>
      <c r="T114">
        <v>7</v>
      </c>
      <c r="U114">
        <v>20102</v>
      </c>
      <c r="V114">
        <v>19989</v>
      </c>
      <c r="W114" t="str">
        <f t="shared" si="13"/>
        <v>No</v>
      </c>
      <c r="X114" t="str">
        <f t="shared" si="14"/>
        <v>None</v>
      </c>
      <c r="Y114" s="2">
        <f t="shared" si="15"/>
        <v>46039</v>
      </c>
    </row>
    <row r="115" spans="1:25" x14ac:dyDescent="0.25">
      <c r="A115" t="s">
        <v>260</v>
      </c>
      <c r="B115" t="s">
        <v>20</v>
      </c>
      <c r="C115" t="s">
        <v>21</v>
      </c>
      <c r="D115" t="s">
        <v>13</v>
      </c>
      <c r="E115" t="s">
        <v>14</v>
      </c>
      <c r="F115" s="1">
        <v>6</v>
      </c>
      <c r="G115" t="s">
        <v>261</v>
      </c>
      <c r="H115" t="s">
        <v>47</v>
      </c>
      <c r="I115" t="s">
        <v>36</v>
      </c>
      <c r="J115" t="s">
        <v>37</v>
      </c>
      <c r="K115" t="str">
        <f t="shared" si="8"/>
        <v>Garbage Collection</v>
      </c>
      <c r="L115" t="s">
        <v>884</v>
      </c>
      <c r="M115" t="str">
        <f t="shared" si="9"/>
        <v>Garbage not collected for 3 days</v>
      </c>
      <c r="N115">
        <v>3</v>
      </c>
      <c r="O115" t="s">
        <v>37</v>
      </c>
      <c r="P115">
        <f t="shared" si="10"/>
        <v>15</v>
      </c>
      <c r="Q115" t="str">
        <f t="shared" si="11"/>
        <v>Within SLA</v>
      </c>
      <c r="R115" t="str">
        <f t="shared" si="12"/>
        <v>Off115</v>
      </c>
      <c r="S115">
        <v>13</v>
      </c>
      <c r="T115">
        <v>49</v>
      </c>
      <c r="U115">
        <v>29292</v>
      </c>
      <c r="V115">
        <v>28433</v>
      </c>
      <c r="W115" t="str">
        <f t="shared" si="13"/>
        <v>No</v>
      </c>
      <c r="X115" t="str">
        <f t="shared" si="14"/>
        <v>None</v>
      </c>
      <c r="Y115" s="2">
        <f t="shared" si="15"/>
        <v>46150</v>
      </c>
    </row>
    <row r="116" spans="1:25" x14ac:dyDescent="0.25">
      <c r="A116" t="s">
        <v>262</v>
      </c>
      <c r="B116" t="s">
        <v>11</v>
      </c>
      <c r="C116" t="s">
        <v>39</v>
      </c>
      <c r="D116" t="s">
        <v>22</v>
      </c>
      <c r="E116" t="s">
        <v>14</v>
      </c>
      <c r="F116" s="1">
        <v>17</v>
      </c>
      <c r="G116" t="s">
        <v>263</v>
      </c>
      <c r="H116" t="s">
        <v>25</v>
      </c>
      <c r="I116" t="s">
        <v>44</v>
      </c>
      <c r="J116" t="s">
        <v>18</v>
      </c>
      <c r="K116" t="str">
        <f t="shared" si="8"/>
        <v>Water Leakage</v>
      </c>
      <c r="L116" t="s">
        <v>885</v>
      </c>
      <c r="M116" t="str">
        <f t="shared" si="9"/>
        <v>Water pipe leakage near school</v>
      </c>
      <c r="N116">
        <v>3</v>
      </c>
      <c r="O116" t="s">
        <v>37</v>
      </c>
      <c r="P116">
        <f t="shared" si="10"/>
        <v>7</v>
      </c>
      <c r="Q116" t="str">
        <f t="shared" si="11"/>
        <v>Delayed</v>
      </c>
      <c r="R116" t="str">
        <f t="shared" si="12"/>
        <v>Off116</v>
      </c>
      <c r="S116">
        <v>14</v>
      </c>
      <c r="T116">
        <v>48</v>
      </c>
      <c r="U116">
        <v>26877</v>
      </c>
      <c r="V116">
        <v>26292</v>
      </c>
      <c r="W116" t="str">
        <f t="shared" si="13"/>
        <v>Yes</v>
      </c>
      <c r="X116" t="str">
        <f t="shared" si="14"/>
        <v>Level 2</v>
      </c>
      <c r="Y116" s="2">
        <f t="shared" si="15"/>
        <v>46028</v>
      </c>
    </row>
    <row r="117" spans="1:25" x14ac:dyDescent="0.25">
      <c r="A117" t="s">
        <v>264</v>
      </c>
      <c r="B117" t="s">
        <v>20</v>
      </c>
      <c r="C117" t="s">
        <v>49</v>
      </c>
      <c r="D117" t="s">
        <v>13</v>
      </c>
      <c r="E117" t="s">
        <v>30</v>
      </c>
      <c r="F117" s="1">
        <v>22</v>
      </c>
      <c r="G117" t="s">
        <v>265</v>
      </c>
      <c r="H117" t="s">
        <v>58</v>
      </c>
      <c r="I117" t="s">
        <v>36</v>
      </c>
      <c r="J117" t="s">
        <v>18</v>
      </c>
      <c r="K117" t="str">
        <f t="shared" si="8"/>
        <v>Garbage Collection</v>
      </c>
      <c r="L117" t="s">
        <v>881</v>
      </c>
      <c r="M117" t="str">
        <f t="shared" si="9"/>
        <v>Garbage not collected for 3 days</v>
      </c>
      <c r="N117">
        <v>2</v>
      </c>
      <c r="O117" t="s">
        <v>18</v>
      </c>
      <c r="P117">
        <f t="shared" si="10"/>
        <v>15</v>
      </c>
      <c r="Q117" t="str">
        <f t="shared" si="11"/>
        <v>Delayed</v>
      </c>
      <c r="R117" t="str">
        <f t="shared" si="12"/>
        <v>Off117</v>
      </c>
      <c r="S117">
        <v>13</v>
      </c>
      <c r="T117">
        <v>37</v>
      </c>
      <c r="U117">
        <v>16522</v>
      </c>
      <c r="V117">
        <v>16553</v>
      </c>
      <c r="W117" t="str">
        <f t="shared" si="13"/>
        <v>Yes</v>
      </c>
      <c r="X117" t="str">
        <f t="shared" si="14"/>
        <v>Level 1</v>
      </c>
      <c r="Y117" s="2">
        <f t="shared" si="15"/>
        <v>46075</v>
      </c>
    </row>
    <row r="118" spans="1:25" x14ac:dyDescent="0.25">
      <c r="A118" t="s">
        <v>266</v>
      </c>
      <c r="B118" t="s">
        <v>53</v>
      </c>
      <c r="C118" t="s">
        <v>33</v>
      </c>
      <c r="D118" t="s">
        <v>22</v>
      </c>
      <c r="E118" t="s">
        <v>30</v>
      </c>
      <c r="F118" s="1">
        <v>16</v>
      </c>
      <c r="G118" t="s">
        <v>101</v>
      </c>
      <c r="H118" t="s">
        <v>16</v>
      </c>
      <c r="I118" t="s">
        <v>44</v>
      </c>
      <c r="J118" t="s">
        <v>18</v>
      </c>
      <c r="K118" t="str">
        <f t="shared" si="8"/>
        <v>Public Transport Delay</v>
      </c>
      <c r="L118" t="s">
        <v>882</v>
      </c>
      <c r="M118" t="str">
        <f t="shared" si="9"/>
        <v>Bus arrival delay reported</v>
      </c>
      <c r="N118">
        <v>5</v>
      </c>
      <c r="O118" t="s">
        <v>37</v>
      </c>
      <c r="P118">
        <f t="shared" si="10"/>
        <v>7</v>
      </c>
      <c r="Q118" t="str">
        <f t="shared" si="11"/>
        <v>Delayed</v>
      </c>
      <c r="R118" t="str">
        <f t="shared" si="12"/>
        <v>Off118</v>
      </c>
      <c r="S118">
        <v>10</v>
      </c>
      <c r="T118">
        <v>27</v>
      </c>
      <c r="U118">
        <v>11706</v>
      </c>
      <c r="V118">
        <v>11135</v>
      </c>
      <c r="W118" t="str">
        <f t="shared" si="13"/>
        <v>Yes</v>
      </c>
      <c r="X118" t="str">
        <f t="shared" si="14"/>
        <v>Level 2</v>
      </c>
      <c r="Y118" s="2">
        <f t="shared" si="15"/>
        <v>46062</v>
      </c>
    </row>
    <row r="119" spans="1:25" x14ac:dyDescent="0.25">
      <c r="A119" t="s">
        <v>267</v>
      </c>
      <c r="B119" t="s">
        <v>69</v>
      </c>
      <c r="C119" t="s">
        <v>76</v>
      </c>
      <c r="D119" t="s">
        <v>13</v>
      </c>
      <c r="E119" t="s">
        <v>23</v>
      </c>
      <c r="F119" s="1">
        <v>23</v>
      </c>
      <c r="G119" t="s">
        <v>114</v>
      </c>
      <c r="H119" t="s">
        <v>51</v>
      </c>
      <c r="I119" t="s">
        <v>65</v>
      </c>
      <c r="J119" t="s">
        <v>18</v>
      </c>
      <c r="K119" t="str">
        <f t="shared" si="8"/>
        <v>General Complaint</v>
      </c>
      <c r="L119" t="s">
        <v>883</v>
      </c>
      <c r="M119" t="str">
        <f t="shared" si="9"/>
        <v>General complaint reported</v>
      </c>
      <c r="N119">
        <v>2</v>
      </c>
      <c r="O119" t="s">
        <v>18</v>
      </c>
      <c r="P119">
        <f t="shared" si="10"/>
        <v>15</v>
      </c>
      <c r="Q119" t="str">
        <f t="shared" si="11"/>
        <v>Delayed</v>
      </c>
      <c r="R119" t="str">
        <f t="shared" si="12"/>
        <v>Off119</v>
      </c>
      <c r="S119">
        <v>7</v>
      </c>
      <c r="T119">
        <v>37</v>
      </c>
      <c r="U119">
        <v>29212</v>
      </c>
      <c r="V119">
        <v>29020</v>
      </c>
      <c r="W119" t="str">
        <f t="shared" si="13"/>
        <v>Yes</v>
      </c>
      <c r="X119" t="str">
        <f t="shared" si="14"/>
        <v>Level 1</v>
      </c>
      <c r="Y119" s="2">
        <f t="shared" si="15"/>
        <v>46065</v>
      </c>
    </row>
    <row r="120" spans="1:25" x14ac:dyDescent="0.25">
      <c r="A120" t="s">
        <v>268</v>
      </c>
      <c r="B120" t="s">
        <v>11</v>
      </c>
      <c r="C120" t="s">
        <v>56</v>
      </c>
      <c r="D120" t="s">
        <v>22</v>
      </c>
      <c r="E120" t="s">
        <v>23</v>
      </c>
      <c r="F120" s="1">
        <v>13</v>
      </c>
      <c r="G120" t="s">
        <v>269</v>
      </c>
      <c r="H120" t="s">
        <v>51</v>
      </c>
      <c r="I120" t="s">
        <v>17</v>
      </c>
      <c r="J120" t="s">
        <v>18</v>
      </c>
      <c r="K120" t="str">
        <f t="shared" si="8"/>
        <v>Water Leakage</v>
      </c>
      <c r="L120" t="s">
        <v>884</v>
      </c>
      <c r="M120" t="str">
        <f t="shared" si="9"/>
        <v>Water pipe leakage near school</v>
      </c>
      <c r="N120">
        <v>3</v>
      </c>
      <c r="O120" t="s">
        <v>37</v>
      </c>
      <c r="P120">
        <f t="shared" si="10"/>
        <v>7</v>
      </c>
      <c r="Q120" t="str">
        <f t="shared" si="11"/>
        <v>Delayed</v>
      </c>
      <c r="R120" t="str">
        <f t="shared" si="12"/>
        <v>Off120</v>
      </c>
      <c r="S120">
        <v>1</v>
      </c>
      <c r="T120">
        <v>43</v>
      </c>
      <c r="U120">
        <v>47816</v>
      </c>
      <c r="V120">
        <v>47949</v>
      </c>
      <c r="W120" t="str">
        <f t="shared" si="13"/>
        <v>Yes</v>
      </c>
      <c r="X120" t="str">
        <f t="shared" si="14"/>
        <v>Level 2</v>
      </c>
      <c r="Y120" s="2">
        <f t="shared" si="15"/>
        <v>45785</v>
      </c>
    </row>
    <row r="121" spans="1:25" x14ac:dyDescent="0.25">
      <c r="A121" t="s">
        <v>270</v>
      </c>
      <c r="B121" t="s">
        <v>28</v>
      </c>
      <c r="C121" t="s">
        <v>12</v>
      </c>
      <c r="D121" t="s">
        <v>13</v>
      </c>
      <c r="E121" t="s">
        <v>23</v>
      </c>
      <c r="F121" s="1">
        <v>6</v>
      </c>
      <c r="G121" t="s">
        <v>271</v>
      </c>
      <c r="H121" t="s">
        <v>51</v>
      </c>
      <c r="I121" t="s">
        <v>65</v>
      </c>
      <c r="J121" t="s">
        <v>37</v>
      </c>
      <c r="K121" t="str">
        <f t="shared" si="8"/>
        <v>Road Damage</v>
      </c>
      <c r="L121" t="s">
        <v>885</v>
      </c>
      <c r="M121" t="str">
        <f t="shared" si="9"/>
        <v>Road damaged due to heavy rain</v>
      </c>
      <c r="N121">
        <v>1</v>
      </c>
      <c r="O121" t="s">
        <v>18</v>
      </c>
      <c r="P121">
        <f t="shared" si="10"/>
        <v>15</v>
      </c>
      <c r="Q121" t="str">
        <f t="shared" si="11"/>
        <v>Within SLA</v>
      </c>
      <c r="R121" t="str">
        <f t="shared" si="12"/>
        <v>Off121</v>
      </c>
      <c r="S121">
        <v>8</v>
      </c>
      <c r="T121">
        <v>17</v>
      </c>
      <c r="U121">
        <v>46699</v>
      </c>
      <c r="V121">
        <v>47595</v>
      </c>
      <c r="W121" t="str">
        <f t="shared" si="13"/>
        <v>No</v>
      </c>
      <c r="X121" t="str">
        <f t="shared" si="14"/>
        <v>None</v>
      </c>
      <c r="Y121" s="2">
        <f t="shared" si="15"/>
        <v>45848</v>
      </c>
    </row>
    <row r="122" spans="1:25" x14ac:dyDescent="0.25">
      <c r="A122" t="s">
        <v>272</v>
      </c>
      <c r="B122" t="s">
        <v>11</v>
      </c>
      <c r="C122" t="s">
        <v>12</v>
      </c>
      <c r="D122" t="s">
        <v>22</v>
      </c>
      <c r="E122" t="s">
        <v>42</v>
      </c>
      <c r="F122" s="1">
        <v>28</v>
      </c>
      <c r="G122" t="s">
        <v>254</v>
      </c>
      <c r="H122" t="s">
        <v>51</v>
      </c>
      <c r="I122" t="s">
        <v>44</v>
      </c>
      <c r="J122" t="s">
        <v>18</v>
      </c>
      <c r="K122" t="str">
        <f t="shared" si="8"/>
        <v>Water Leakage</v>
      </c>
      <c r="L122" t="s">
        <v>881</v>
      </c>
      <c r="M122" t="str">
        <f t="shared" si="9"/>
        <v>Water pipe leakage near school</v>
      </c>
      <c r="N122">
        <v>5</v>
      </c>
      <c r="O122" t="s">
        <v>37</v>
      </c>
      <c r="P122">
        <f t="shared" si="10"/>
        <v>7</v>
      </c>
      <c r="Q122" t="str">
        <f t="shared" si="11"/>
        <v>Delayed</v>
      </c>
      <c r="R122" t="str">
        <f t="shared" si="12"/>
        <v>Off122</v>
      </c>
      <c r="S122">
        <v>7</v>
      </c>
      <c r="T122">
        <v>21</v>
      </c>
      <c r="U122">
        <v>17990</v>
      </c>
      <c r="V122">
        <v>16246</v>
      </c>
      <c r="W122" t="str">
        <f t="shared" si="13"/>
        <v>Yes</v>
      </c>
      <c r="X122" t="str">
        <f t="shared" si="14"/>
        <v>Level 2</v>
      </c>
      <c r="Y122" s="2">
        <f t="shared" si="15"/>
        <v>46006</v>
      </c>
    </row>
    <row r="123" spans="1:25" x14ac:dyDescent="0.25">
      <c r="A123" t="s">
        <v>273</v>
      </c>
      <c r="B123" t="s">
        <v>20</v>
      </c>
      <c r="C123" t="s">
        <v>33</v>
      </c>
      <c r="D123" t="s">
        <v>34</v>
      </c>
      <c r="E123" t="s">
        <v>30</v>
      </c>
      <c r="F123" s="1">
        <v>13</v>
      </c>
      <c r="G123" t="s">
        <v>274</v>
      </c>
      <c r="H123" t="s">
        <v>47</v>
      </c>
      <c r="I123" t="s">
        <v>17</v>
      </c>
      <c r="J123" t="s">
        <v>18</v>
      </c>
      <c r="K123" t="str">
        <f t="shared" si="8"/>
        <v>Garbage Collection</v>
      </c>
      <c r="L123" t="s">
        <v>882</v>
      </c>
      <c r="M123" t="str">
        <f t="shared" si="9"/>
        <v>Garbage not collected for 3 days</v>
      </c>
      <c r="N123">
        <v>3</v>
      </c>
      <c r="O123" t="s">
        <v>37</v>
      </c>
      <c r="P123">
        <f t="shared" si="10"/>
        <v>3</v>
      </c>
      <c r="Q123" t="str">
        <f t="shared" si="11"/>
        <v>Delayed</v>
      </c>
      <c r="R123" t="str">
        <f t="shared" si="12"/>
        <v>Off123</v>
      </c>
      <c r="S123">
        <v>3</v>
      </c>
      <c r="T123">
        <v>24</v>
      </c>
      <c r="U123">
        <v>35717</v>
      </c>
      <c r="V123">
        <v>34807</v>
      </c>
      <c r="W123" t="str">
        <f t="shared" si="13"/>
        <v>Yes</v>
      </c>
      <c r="X123" t="str">
        <f t="shared" si="14"/>
        <v>Level 3</v>
      </c>
      <c r="Y123" s="2">
        <f t="shared" si="15"/>
        <v>45868</v>
      </c>
    </row>
    <row r="124" spans="1:25" x14ac:dyDescent="0.25">
      <c r="A124" t="s">
        <v>275</v>
      </c>
      <c r="B124" t="s">
        <v>20</v>
      </c>
      <c r="C124" t="s">
        <v>49</v>
      </c>
      <c r="D124" t="s">
        <v>22</v>
      </c>
      <c r="E124" t="s">
        <v>30</v>
      </c>
      <c r="F124" s="1">
        <v>7</v>
      </c>
      <c r="G124" t="s">
        <v>276</v>
      </c>
      <c r="H124" t="s">
        <v>51</v>
      </c>
      <c r="I124" t="s">
        <v>36</v>
      </c>
      <c r="J124" t="s">
        <v>37</v>
      </c>
      <c r="K124" t="str">
        <f t="shared" si="8"/>
        <v>Garbage Collection</v>
      </c>
      <c r="L124" t="s">
        <v>883</v>
      </c>
      <c r="M124" t="str">
        <f t="shared" si="9"/>
        <v>Garbage not collected for 3 days</v>
      </c>
      <c r="N124">
        <v>3</v>
      </c>
      <c r="O124" t="s">
        <v>37</v>
      </c>
      <c r="P124">
        <f t="shared" si="10"/>
        <v>7</v>
      </c>
      <c r="Q124" t="str">
        <f t="shared" si="11"/>
        <v>Within SLA</v>
      </c>
      <c r="R124" t="str">
        <f t="shared" si="12"/>
        <v>Off124</v>
      </c>
      <c r="S124">
        <v>7</v>
      </c>
      <c r="T124">
        <v>21</v>
      </c>
      <c r="U124">
        <v>3721</v>
      </c>
      <c r="V124">
        <v>5056</v>
      </c>
      <c r="W124" t="str">
        <f t="shared" si="13"/>
        <v>No</v>
      </c>
      <c r="X124" t="str">
        <f t="shared" si="14"/>
        <v>None</v>
      </c>
      <c r="Y124" s="2">
        <f t="shared" si="15"/>
        <v>46112</v>
      </c>
    </row>
    <row r="125" spans="1:25" x14ac:dyDescent="0.25">
      <c r="A125" t="s">
        <v>277</v>
      </c>
      <c r="B125" t="s">
        <v>20</v>
      </c>
      <c r="C125" t="s">
        <v>12</v>
      </c>
      <c r="D125" t="s">
        <v>22</v>
      </c>
      <c r="E125" t="s">
        <v>14</v>
      </c>
      <c r="F125" s="1">
        <v>8</v>
      </c>
      <c r="G125" t="s">
        <v>278</v>
      </c>
      <c r="H125" t="s">
        <v>58</v>
      </c>
      <c r="I125" t="s">
        <v>26</v>
      </c>
      <c r="J125" t="s">
        <v>18</v>
      </c>
      <c r="K125" t="str">
        <f t="shared" si="8"/>
        <v>Garbage Collection</v>
      </c>
      <c r="L125" t="s">
        <v>884</v>
      </c>
      <c r="M125" t="str">
        <f t="shared" si="9"/>
        <v>Garbage not collected for 3 days</v>
      </c>
      <c r="N125">
        <v>1</v>
      </c>
      <c r="O125" t="s">
        <v>18</v>
      </c>
      <c r="P125">
        <f t="shared" si="10"/>
        <v>7</v>
      </c>
      <c r="Q125" t="str">
        <f t="shared" si="11"/>
        <v>Delayed</v>
      </c>
      <c r="R125" t="str">
        <f t="shared" si="12"/>
        <v>Off125</v>
      </c>
      <c r="S125">
        <v>14</v>
      </c>
      <c r="T125">
        <v>50</v>
      </c>
      <c r="U125">
        <v>6644</v>
      </c>
      <c r="V125">
        <v>7697</v>
      </c>
      <c r="W125" t="str">
        <f t="shared" si="13"/>
        <v>Yes</v>
      </c>
      <c r="X125" t="str">
        <f t="shared" si="14"/>
        <v>Level 2</v>
      </c>
      <c r="Y125" s="2">
        <f t="shared" si="15"/>
        <v>45940</v>
      </c>
    </row>
    <row r="126" spans="1:25" x14ac:dyDescent="0.25">
      <c r="A126" t="s">
        <v>279</v>
      </c>
      <c r="B126" t="s">
        <v>69</v>
      </c>
      <c r="C126" t="s">
        <v>29</v>
      </c>
      <c r="D126" t="s">
        <v>22</v>
      </c>
      <c r="E126" t="s">
        <v>42</v>
      </c>
      <c r="F126" s="1">
        <v>30</v>
      </c>
      <c r="G126" t="s">
        <v>280</v>
      </c>
      <c r="H126" t="s">
        <v>25</v>
      </c>
      <c r="I126" t="s">
        <v>26</v>
      </c>
      <c r="J126" t="s">
        <v>18</v>
      </c>
      <c r="K126" t="str">
        <f t="shared" si="8"/>
        <v>General Complaint</v>
      </c>
      <c r="L126" t="s">
        <v>885</v>
      </c>
      <c r="M126" t="str">
        <f t="shared" si="9"/>
        <v>General complaint reported</v>
      </c>
      <c r="N126">
        <v>5</v>
      </c>
      <c r="O126" t="s">
        <v>37</v>
      </c>
      <c r="P126">
        <f t="shared" si="10"/>
        <v>7</v>
      </c>
      <c r="Q126" t="str">
        <f t="shared" si="11"/>
        <v>Delayed</v>
      </c>
      <c r="R126" t="str">
        <f t="shared" si="12"/>
        <v>Off126</v>
      </c>
      <c r="S126">
        <v>8</v>
      </c>
      <c r="T126">
        <v>11</v>
      </c>
      <c r="U126">
        <v>43070</v>
      </c>
      <c r="V126">
        <v>44602</v>
      </c>
      <c r="W126" t="str">
        <f t="shared" si="13"/>
        <v>Yes</v>
      </c>
      <c r="X126" t="str">
        <f t="shared" si="14"/>
        <v>Level 2</v>
      </c>
      <c r="Y126" s="2">
        <f t="shared" si="15"/>
        <v>46143</v>
      </c>
    </row>
    <row r="127" spans="1:25" x14ac:dyDescent="0.25">
      <c r="A127" t="s">
        <v>281</v>
      </c>
      <c r="B127" t="s">
        <v>28</v>
      </c>
      <c r="C127" t="s">
        <v>49</v>
      </c>
      <c r="D127" t="s">
        <v>22</v>
      </c>
      <c r="E127" t="s">
        <v>14</v>
      </c>
      <c r="F127" s="1">
        <v>25</v>
      </c>
      <c r="G127" t="s">
        <v>282</v>
      </c>
      <c r="H127" t="s">
        <v>51</v>
      </c>
      <c r="I127" t="s">
        <v>36</v>
      </c>
      <c r="J127" t="s">
        <v>18</v>
      </c>
      <c r="K127" t="str">
        <f t="shared" si="8"/>
        <v>Road Damage</v>
      </c>
      <c r="L127" t="s">
        <v>881</v>
      </c>
      <c r="M127" t="str">
        <f t="shared" si="9"/>
        <v>Road damaged due to heavy rain</v>
      </c>
      <c r="N127">
        <v>1</v>
      </c>
      <c r="O127" t="s">
        <v>18</v>
      </c>
      <c r="P127">
        <f t="shared" si="10"/>
        <v>7</v>
      </c>
      <c r="Q127" t="str">
        <f t="shared" si="11"/>
        <v>Delayed</v>
      </c>
      <c r="R127" t="str">
        <f t="shared" si="12"/>
        <v>Off127</v>
      </c>
      <c r="S127">
        <v>5</v>
      </c>
      <c r="T127">
        <v>36</v>
      </c>
      <c r="U127">
        <v>9600</v>
      </c>
      <c r="V127">
        <v>8010</v>
      </c>
      <c r="W127" t="str">
        <f t="shared" si="13"/>
        <v>Yes</v>
      </c>
      <c r="X127" t="str">
        <f t="shared" si="14"/>
        <v>Level 2</v>
      </c>
      <c r="Y127" s="2">
        <f t="shared" si="15"/>
        <v>46175</v>
      </c>
    </row>
    <row r="128" spans="1:25" x14ac:dyDescent="0.25">
      <c r="A128" t="s">
        <v>283</v>
      </c>
      <c r="B128" t="s">
        <v>28</v>
      </c>
      <c r="C128" t="s">
        <v>84</v>
      </c>
      <c r="D128" t="s">
        <v>22</v>
      </c>
      <c r="E128" t="s">
        <v>23</v>
      </c>
      <c r="F128" s="1">
        <v>7</v>
      </c>
      <c r="G128" t="s">
        <v>284</v>
      </c>
      <c r="H128" t="s">
        <v>47</v>
      </c>
      <c r="I128" t="s">
        <v>44</v>
      </c>
      <c r="J128" t="s">
        <v>37</v>
      </c>
      <c r="K128" t="str">
        <f t="shared" si="8"/>
        <v>Road Damage</v>
      </c>
      <c r="L128" t="s">
        <v>882</v>
      </c>
      <c r="M128" t="str">
        <f t="shared" si="9"/>
        <v>Road damaged due to heavy rain</v>
      </c>
      <c r="N128">
        <v>4</v>
      </c>
      <c r="O128" t="s">
        <v>37</v>
      </c>
      <c r="P128">
        <f t="shared" si="10"/>
        <v>7</v>
      </c>
      <c r="Q128" t="str">
        <f t="shared" si="11"/>
        <v>Within SLA</v>
      </c>
      <c r="R128" t="str">
        <f t="shared" si="12"/>
        <v>Off128</v>
      </c>
      <c r="S128">
        <v>10</v>
      </c>
      <c r="T128">
        <v>38</v>
      </c>
      <c r="U128">
        <v>40247</v>
      </c>
      <c r="V128">
        <v>39037</v>
      </c>
      <c r="W128" t="str">
        <f t="shared" si="13"/>
        <v>No</v>
      </c>
      <c r="X128" t="str">
        <f t="shared" si="14"/>
        <v>None</v>
      </c>
      <c r="Y128" s="2">
        <f t="shared" si="15"/>
        <v>46083</v>
      </c>
    </row>
    <row r="129" spans="1:25" x14ac:dyDescent="0.25">
      <c r="A129" t="s">
        <v>285</v>
      </c>
      <c r="B129" t="s">
        <v>53</v>
      </c>
      <c r="C129" t="s">
        <v>12</v>
      </c>
      <c r="D129" t="s">
        <v>34</v>
      </c>
      <c r="E129" t="s">
        <v>23</v>
      </c>
      <c r="F129" s="1">
        <v>3</v>
      </c>
      <c r="G129" t="s">
        <v>286</v>
      </c>
      <c r="H129" t="s">
        <v>40</v>
      </c>
      <c r="I129" t="s">
        <v>17</v>
      </c>
      <c r="J129" t="s">
        <v>37</v>
      </c>
      <c r="K129" t="str">
        <f t="shared" si="8"/>
        <v>Public Transport Delay</v>
      </c>
      <c r="L129" t="s">
        <v>883</v>
      </c>
      <c r="M129" t="str">
        <f t="shared" si="9"/>
        <v>Bus arrival delay reported</v>
      </c>
      <c r="N129">
        <v>4</v>
      </c>
      <c r="O129" t="s">
        <v>37</v>
      </c>
      <c r="P129">
        <f t="shared" si="10"/>
        <v>3</v>
      </c>
      <c r="Q129" t="str">
        <f t="shared" si="11"/>
        <v>Within SLA</v>
      </c>
      <c r="R129" t="str">
        <f t="shared" si="12"/>
        <v>Off129</v>
      </c>
      <c r="S129">
        <v>9</v>
      </c>
      <c r="T129">
        <v>11</v>
      </c>
      <c r="U129">
        <v>6439</v>
      </c>
      <c r="V129">
        <v>6868</v>
      </c>
      <c r="W129" t="str">
        <f t="shared" si="13"/>
        <v>No</v>
      </c>
      <c r="X129" t="str">
        <f t="shared" si="14"/>
        <v>None</v>
      </c>
      <c r="Y129" s="2">
        <f t="shared" si="15"/>
        <v>46041</v>
      </c>
    </row>
    <row r="130" spans="1:25" x14ac:dyDescent="0.25">
      <c r="A130" t="s">
        <v>287</v>
      </c>
      <c r="B130" t="s">
        <v>53</v>
      </c>
      <c r="C130" t="s">
        <v>29</v>
      </c>
      <c r="D130" t="s">
        <v>22</v>
      </c>
      <c r="E130" t="s">
        <v>23</v>
      </c>
      <c r="F130" s="1">
        <v>16</v>
      </c>
      <c r="G130" t="s">
        <v>288</v>
      </c>
      <c r="H130" t="s">
        <v>51</v>
      </c>
      <c r="I130" t="s">
        <v>17</v>
      </c>
      <c r="J130" t="s">
        <v>18</v>
      </c>
      <c r="K130" t="str">
        <f t="shared" si="8"/>
        <v>Public Transport Delay</v>
      </c>
      <c r="L130" t="s">
        <v>884</v>
      </c>
      <c r="M130" t="str">
        <f t="shared" si="9"/>
        <v>Bus arrival delay reported</v>
      </c>
      <c r="N130">
        <v>2</v>
      </c>
      <c r="O130" t="s">
        <v>18</v>
      </c>
      <c r="P130">
        <f t="shared" si="10"/>
        <v>7</v>
      </c>
      <c r="Q130" t="str">
        <f t="shared" si="11"/>
        <v>Delayed</v>
      </c>
      <c r="R130" t="str">
        <f t="shared" si="12"/>
        <v>Off130</v>
      </c>
      <c r="S130">
        <v>10</v>
      </c>
      <c r="T130">
        <v>31</v>
      </c>
      <c r="U130">
        <v>22609</v>
      </c>
      <c r="V130">
        <v>22252</v>
      </c>
      <c r="W130" t="str">
        <f t="shared" si="13"/>
        <v>Yes</v>
      </c>
      <c r="X130" t="str">
        <f t="shared" si="14"/>
        <v>Level 2</v>
      </c>
      <c r="Y130" s="2">
        <f t="shared" si="15"/>
        <v>46185</v>
      </c>
    </row>
    <row r="131" spans="1:25" x14ac:dyDescent="0.25">
      <c r="A131" t="s">
        <v>289</v>
      </c>
      <c r="B131" t="s">
        <v>69</v>
      </c>
      <c r="C131" t="s">
        <v>61</v>
      </c>
      <c r="D131" t="s">
        <v>34</v>
      </c>
      <c r="E131" t="s">
        <v>30</v>
      </c>
      <c r="F131" s="1">
        <v>7</v>
      </c>
      <c r="G131" t="s">
        <v>290</v>
      </c>
      <c r="H131" t="s">
        <v>40</v>
      </c>
      <c r="I131" t="s">
        <v>26</v>
      </c>
      <c r="J131" t="s">
        <v>37</v>
      </c>
      <c r="K131" t="str">
        <f t="shared" ref="K131:K194" si="16">IF(B131="Water Supply","Water Leakage",
IF(B131="Roads","Road Damage",
IF(B131="Municipal Services","Garbage Collection",
IF(B131="Electricity","Street Light Failure",
IF(B131="Public Transport","Public Transport Delay","General Complaint")))))</f>
        <v>General Complaint</v>
      </c>
      <c r="L131" t="s">
        <v>885</v>
      </c>
      <c r="M131" t="str">
        <f t="shared" ref="M131:M194" si="17">IF(K131="Water Leakage","Water pipe leakage near school",
IF(K131="Road Damage","Road damaged due to heavy rain",
IF(K131="Garbage Collection","Garbage not collected for 3 days",
IF(K131="Street Light Failure","Street light not working in residential area",
IF(K131="Public Transport Delay","Bus arrival delay reported",
"General complaint reported")))))</f>
        <v>General complaint reported</v>
      </c>
      <c r="N131">
        <v>3</v>
      </c>
      <c r="O131" t="s">
        <v>37</v>
      </c>
      <c r="P131">
        <f t="shared" ref="P131:P194" si="18">IF(D131="High",3,
IF(D131="Medium",7,15))</f>
        <v>3</v>
      </c>
      <c r="Q131" t="str">
        <f t="shared" ref="Q131:Q194" si="19">IF(F131&lt;=P131,"Within SLA","Delayed")</f>
        <v>Delayed</v>
      </c>
      <c r="R131" t="str">
        <f t="shared" ref="R131:R194" si="20">"Off"&amp;TEXT(ROW(A131),"000")</f>
        <v>Off131</v>
      </c>
      <c r="S131">
        <v>15</v>
      </c>
      <c r="T131">
        <v>37</v>
      </c>
      <c r="U131">
        <v>5317</v>
      </c>
      <c r="V131">
        <v>3816</v>
      </c>
      <c r="W131" t="str">
        <f t="shared" ref="W131:W194" si="21">IF(F131&gt;P131,"Yes","No")</f>
        <v>Yes</v>
      </c>
      <c r="X131" t="str">
        <f t="shared" ref="X131:X194" si="22">IF(W131="No","None",
IF(D131="High","Level 3",
IF(D131="Medium","Level 2","Level 1")))</f>
        <v>Level 3</v>
      </c>
      <c r="Y131" s="2">
        <f t="shared" ref="Y131:Y194" si="23">G131+F131</f>
        <v>45975</v>
      </c>
    </row>
    <row r="132" spans="1:25" x14ac:dyDescent="0.25">
      <c r="A132" t="s">
        <v>291</v>
      </c>
      <c r="B132" t="s">
        <v>60</v>
      </c>
      <c r="C132" t="s">
        <v>61</v>
      </c>
      <c r="D132" t="s">
        <v>22</v>
      </c>
      <c r="E132" t="s">
        <v>23</v>
      </c>
      <c r="F132" s="1">
        <v>23</v>
      </c>
      <c r="G132" t="s">
        <v>292</v>
      </c>
      <c r="H132" t="s">
        <v>25</v>
      </c>
      <c r="I132" t="s">
        <v>44</v>
      </c>
      <c r="J132" t="s">
        <v>18</v>
      </c>
      <c r="K132" t="str">
        <f t="shared" si="16"/>
        <v>General Complaint</v>
      </c>
      <c r="L132" t="s">
        <v>881</v>
      </c>
      <c r="M132" t="str">
        <f t="shared" si="17"/>
        <v>General complaint reported</v>
      </c>
      <c r="N132">
        <v>4</v>
      </c>
      <c r="O132" t="s">
        <v>37</v>
      </c>
      <c r="P132">
        <f t="shared" si="18"/>
        <v>7</v>
      </c>
      <c r="Q132" t="str">
        <f t="shared" si="19"/>
        <v>Delayed</v>
      </c>
      <c r="R132" t="str">
        <f t="shared" si="20"/>
        <v>Off132</v>
      </c>
      <c r="S132">
        <v>2</v>
      </c>
      <c r="T132">
        <v>42</v>
      </c>
      <c r="U132">
        <v>33898</v>
      </c>
      <c r="V132">
        <v>34797</v>
      </c>
      <c r="W132" t="str">
        <f t="shared" si="21"/>
        <v>Yes</v>
      </c>
      <c r="X132" t="str">
        <f t="shared" si="22"/>
        <v>Level 2</v>
      </c>
      <c r="Y132" s="2">
        <f t="shared" si="23"/>
        <v>46202</v>
      </c>
    </row>
    <row r="133" spans="1:25" x14ac:dyDescent="0.25">
      <c r="A133" t="s">
        <v>293</v>
      </c>
      <c r="B133" t="s">
        <v>20</v>
      </c>
      <c r="C133" t="s">
        <v>29</v>
      </c>
      <c r="D133" t="s">
        <v>34</v>
      </c>
      <c r="E133" t="s">
        <v>23</v>
      </c>
      <c r="F133" s="1">
        <v>1</v>
      </c>
      <c r="G133" t="s">
        <v>294</v>
      </c>
      <c r="H133" t="s">
        <v>16</v>
      </c>
      <c r="I133" t="s">
        <v>65</v>
      </c>
      <c r="J133" t="s">
        <v>37</v>
      </c>
      <c r="K133" t="str">
        <f t="shared" si="16"/>
        <v>Garbage Collection</v>
      </c>
      <c r="L133" t="s">
        <v>882</v>
      </c>
      <c r="M133" t="str">
        <f t="shared" si="17"/>
        <v>Garbage not collected for 3 days</v>
      </c>
      <c r="N133">
        <v>1</v>
      </c>
      <c r="O133" t="s">
        <v>18</v>
      </c>
      <c r="P133">
        <f t="shared" si="18"/>
        <v>3</v>
      </c>
      <c r="Q133" t="str">
        <f t="shared" si="19"/>
        <v>Within SLA</v>
      </c>
      <c r="R133" t="str">
        <f t="shared" si="20"/>
        <v>Off133</v>
      </c>
      <c r="S133">
        <v>9</v>
      </c>
      <c r="T133">
        <v>47</v>
      </c>
      <c r="U133">
        <v>13210</v>
      </c>
      <c r="V133">
        <v>11957</v>
      </c>
      <c r="W133" t="str">
        <f t="shared" si="21"/>
        <v>No</v>
      </c>
      <c r="X133" t="str">
        <f t="shared" si="22"/>
        <v>None</v>
      </c>
      <c r="Y133" s="2">
        <f t="shared" si="23"/>
        <v>45951</v>
      </c>
    </row>
    <row r="134" spans="1:25" x14ac:dyDescent="0.25">
      <c r="A134" t="s">
        <v>295</v>
      </c>
      <c r="B134" t="s">
        <v>60</v>
      </c>
      <c r="C134" t="s">
        <v>21</v>
      </c>
      <c r="D134" t="s">
        <v>13</v>
      </c>
      <c r="E134" t="s">
        <v>14</v>
      </c>
      <c r="F134" s="1">
        <v>12</v>
      </c>
      <c r="G134" t="s">
        <v>132</v>
      </c>
      <c r="H134" t="s">
        <v>58</v>
      </c>
      <c r="I134" t="s">
        <v>26</v>
      </c>
      <c r="J134" t="s">
        <v>18</v>
      </c>
      <c r="K134" t="str">
        <f t="shared" si="16"/>
        <v>General Complaint</v>
      </c>
      <c r="L134" t="s">
        <v>883</v>
      </c>
      <c r="M134" t="str">
        <f t="shared" si="17"/>
        <v>General complaint reported</v>
      </c>
      <c r="N134">
        <v>1</v>
      </c>
      <c r="O134" t="s">
        <v>18</v>
      </c>
      <c r="P134">
        <f t="shared" si="18"/>
        <v>15</v>
      </c>
      <c r="Q134" t="str">
        <f t="shared" si="19"/>
        <v>Within SLA</v>
      </c>
      <c r="R134" t="str">
        <f t="shared" si="20"/>
        <v>Off134</v>
      </c>
      <c r="S134">
        <v>11</v>
      </c>
      <c r="T134">
        <v>12</v>
      </c>
      <c r="U134">
        <v>29896</v>
      </c>
      <c r="V134">
        <v>30642</v>
      </c>
      <c r="W134" t="str">
        <f t="shared" si="21"/>
        <v>No</v>
      </c>
      <c r="X134" t="str">
        <f t="shared" si="22"/>
        <v>None</v>
      </c>
      <c r="Y134" s="2">
        <f t="shared" si="23"/>
        <v>45885</v>
      </c>
    </row>
    <row r="135" spans="1:25" x14ac:dyDescent="0.25">
      <c r="A135" t="s">
        <v>296</v>
      </c>
      <c r="B135" t="s">
        <v>69</v>
      </c>
      <c r="C135" t="s">
        <v>29</v>
      </c>
      <c r="D135" t="s">
        <v>13</v>
      </c>
      <c r="E135" t="s">
        <v>23</v>
      </c>
      <c r="F135" s="1">
        <v>6</v>
      </c>
      <c r="G135" t="s">
        <v>297</v>
      </c>
      <c r="H135" t="s">
        <v>16</v>
      </c>
      <c r="I135" t="s">
        <v>17</v>
      </c>
      <c r="J135" t="s">
        <v>37</v>
      </c>
      <c r="K135" t="str">
        <f t="shared" si="16"/>
        <v>General Complaint</v>
      </c>
      <c r="L135" t="s">
        <v>884</v>
      </c>
      <c r="M135" t="str">
        <f t="shared" si="17"/>
        <v>General complaint reported</v>
      </c>
      <c r="N135">
        <v>1</v>
      </c>
      <c r="O135" t="s">
        <v>18</v>
      </c>
      <c r="P135">
        <f t="shared" si="18"/>
        <v>15</v>
      </c>
      <c r="Q135" t="str">
        <f t="shared" si="19"/>
        <v>Within SLA</v>
      </c>
      <c r="R135" t="str">
        <f t="shared" si="20"/>
        <v>Off135</v>
      </c>
      <c r="S135">
        <v>5</v>
      </c>
      <c r="T135">
        <v>26</v>
      </c>
      <c r="U135">
        <v>41412</v>
      </c>
      <c r="V135">
        <v>40089</v>
      </c>
      <c r="W135" t="str">
        <f t="shared" si="21"/>
        <v>No</v>
      </c>
      <c r="X135" t="str">
        <f t="shared" si="22"/>
        <v>None</v>
      </c>
      <c r="Y135" s="2">
        <f t="shared" si="23"/>
        <v>45677</v>
      </c>
    </row>
    <row r="136" spans="1:25" x14ac:dyDescent="0.25">
      <c r="A136" t="s">
        <v>298</v>
      </c>
      <c r="B136" t="s">
        <v>53</v>
      </c>
      <c r="C136" t="s">
        <v>21</v>
      </c>
      <c r="D136" t="s">
        <v>22</v>
      </c>
      <c r="E136" t="s">
        <v>23</v>
      </c>
      <c r="F136" s="1">
        <v>12</v>
      </c>
      <c r="G136" t="s">
        <v>299</v>
      </c>
      <c r="H136" t="s">
        <v>25</v>
      </c>
      <c r="I136" t="s">
        <v>17</v>
      </c>
      <c r="J136" t="s">
        <v>18</v>
      </c>
      <c r="K136" t="str">
        <f t="shared" si="16"/>
        <v>Public Transport Delay</v>
      </c>
      <c r="L136" t="s">
        <v>885</v>
      </c>
      <c r="M136" t="str">
        <f t="shared" si="17"/>
        <v>Bus arrival delay reported</v>
      </c>
      <c r="N136">
        <v>5</v>
      </c>
      <c r="O136" t="s">
        <v>37</v>
      </c>
      <c r="P136">
        <f t="shared" si="18"/>
        <v>7</v>
      </c>
      <c r="Q136" t="str">
        <f t="shared" si="19"/>
        <v>Delayed</v>
      </c>
      <c r="R136" t="str">
        <f t="shared" si="20"/>
        <v>Off136</v>
      </c>
      <c r="S136">
        <v>9</v>
      </c>
      <c r="T136">
        <v>9</v>
      </c>
      <c r="U136">
        <v>26456</v>
      </c>
      <c r="V136">
        <v>24694</v>
      </c>
      <c r="W136" t="str">
        <f t="shared" si="21"/>
        <v>Yes</v>
      </c>
      <c r="X136" t="str">
        <f t="shared" si="22"/>
        <v>Level 2</v>
      </c>
      <c r="Y136" s="2">
        <f t="shared" si="23"/>
        <v>45932</v>
      </c>
    </row>
    <row r="137" spans="1:25" x14ac:dyDescent="0.25">
      <c r="A137" t="s">
        <v>300</v>
      </c>
      <c r="B137" t="s">
        <v>28</v>
      </c>
      <c r="C137" t="s">
        <v>33</v>
      </c>
      <c r="D137" t="s">
        <v>34</v>
      </c>
      <c r="E137" t="s">
        <v>30</v>
      </c>
      <c r="F137" s="1">
        <v>39</v>
      </c>
      <c r="G137" t="s">
        <v>62</v>
      </c>
      <c r="H137" t="s">
        <v>47</v>
      </c>
      <c r="I137" t="s">
        <v>44</v>
      </c>
      <c r="J137" t="s">
        <v>18</v>
      </c>
      <c r="K137" t="str">
        <f t="shared" si="16"/>
        <v>Road Damage</v>
      </c>
      <c r="L137" t="s">
        <v>881</v>
      </c>
      <c r="M137" t="str">
        <f t="shared" si="17"/>
        <v>Road damaged due to heavy rain</v>
      </c>
      <c r="N137">
        <v>4</v>
      </c>
      <c r="O137" t="s">
        <v>37</v>
      </c>
      <c r="P137">
        <f t="shared" si="18"/>
        <v>3</v>
      </c>
      <c r="Q137" t="str">
        <f t="shared" si="19"/>
        <v>Delayed</v>
      </c>
      <c r="R137" t="str">
        <f t="shared" si="20"/>
        <v>Off137</v>
      </c>
      <c r="S137">
        <v>8</v>
      </c>
      <c r="T137">
        <v>36</v>
      </c>
      <c r="U137">
        <v>27978</v>
      </c>
      <c r="V137">
        <v>28300</v>
      </c>
      <c r="W137" t="str">
        <f t="shared" si="21"/>
        <v>Yes</v>
      </c>
      <c r="X137" t="str">
        <f t="shared" si="22"/>
        <v>Level 3</v>
      </c>
      <c r="Y137" s="2">
        <f t="shared" si="23"/>
        <v>46018</v>
      </c>
    </row>
    <row r="138" spans="1:25" x14ac:dyDescent="0.25">
      <c r="A138" t="s">
        <v>301</v>
      </c>
      <c r="B138" t="s">
        <v>11</v>
      </c>
      <c r="C138" t="s">
        <v>61</v>
      </c>
      <c r="D138" t="s">
        <v>22</v>
      </c>
      <c r="E138" t="s">
        <v>14</v>
      </c>
      <c r="F138" s="1">
        <v>21</v>
      </c>
      <c r="G138" t="s">
        <v>122</v>
      </c>
      <c r="H138" t="s">
        <v>40</v>
      </c>
      <c r="I138" t="s">
        <v>17</v>
      </c>
      <c r="J138" t="s">
        <v>18</v>
      </c>
      <c r="K138" t="str">
        <f t="shared" si="16"/>
        <v>Water Leakage</v>
      </c>
      <c r="L138" t="s">
        <v>882</v>
      </c>
      <c r="M138" t="str">
        <f t="shared" si="17"/>
        <v>Water pipe leakage near school</v>
      </c>
      <c r="N138">
        <v>3</v>
      </c>
      <c r="O138" t="s">
        <v>37</v>
      </c>
      <c r="P138">
        <f t="shared" si="18"/>
        <v>7</v>
      </c>
      <c r="Q138" t="str">
        <f t="shared" si="19"/>
        <v>Delayed</v>
      </c>
      <c r="R138" t="str">
        <f t="shared" si="20"/>
        <v>Off138</v>
      </c>
      <c r="S138">
        <v>9</v>
      </c>
      <c r="T138">
        <v>21</v>
      </c>
      <c r="U138">
        <v>20182</v>
      </c>
      <c r="V138">
        <v>21263</v>
      </c>
      <c r="W138" t="str">
        <f t="shared" si="21"/>
        <v>Yes</v>
      </c>
      <c r="X138" t="str">
        <f t="shared" si="22"/>
        <v>Level 2</v>
      </c>
      <c r="Y138" s="2">
        <f t="shared" si="23"/>
        <v>45721</v>
      </c>
    </row>
    <row r="139" spans="1:25" x14ac:dyDescent="0.25">
      <c r="A139" t="s">
        <v>302</v>
      </c>
      <c r="B139" t="s">
        <v>53</v>
      </c>
      <c r="C139" t="s">
        <v>29</v>
      </c>
      <c r="D139" t="s">
        <v>22</v>
      </c>
      <c r="E139" t="s">
        <v>42</v>
      </c>
      <c r="F139" s="1">
        <v>3</v>
      </c>
      <c r="G139" t="s">
        <v>303</v>
      </c>
      <c r="H139" t="s">
        <v>58</v>
      </c>
      <c r="I139" t="s">
        <v>36</v>
      </c>
      <c r="J139" t="s">
        <v>37</v>
      </c>
      <c r="K139" t="str">
        <f t="shared" si="16"/>
        <v>Public Transport Delay</v>
      </c>
      <c r="L139" t="s">
        <v>883</v>
      </c>
      <c r="M139" t="str">
        <f t="shared" si="17"/>
        <v>Bus arrival delay reported</v>
      </c>
      <c r="N139">
        <v>5</v>
      </c>
      <c r="O139" t="s">
        <v>37</v>
      </c>
      <c r="P139">
        <f t="shared" si="18"/>
        <v>7</v>
      </c>
      <c r="Q139" t="str">
        <f t="shared" si="19"/>
        <v>Within SLA</v>
      </c>
      <c r="R139" t="str">
        <f t="shared" si="20"/>
        <v>Off139</v>
      </c>
      <c r="S139">
        <v>7</v>
      </c>
      <c r="T139">
        <v>37</v>
      </c>
      <c r="U139">
        <v>44274</v>
      </c>
      <c r="V139">
        <v>44702</v>
      </c>
      <c r="W139" t="str">
        <f t="shared" si="21"/>
        <v>No</v>
      </c>
      <c r="X139" t="str">
        <f t="shared" si="22"/>
        <v>None</v>
      </c>
      <c r="Y139" s="2">
        <f t="shared" si="23"/>
        <v>45950</v>
      </c>
    </row>
    <row r="140" spans="1:25" x14ac:dyDescent="0.25">
      <c r="A140" t="s">
        <v>304</v>
      </c>
      <c r="B140" t="s">
        <v>60</v>
      </c>
      <c r="C140" t="s">
        <v>21</v>
      </c>
      <c r="D140" t="s">
        <v>34</v>
      </c>
      <c r="E140" t="s">
        <v>14</v>
      </c>
      <c r="F140" s="1">
        <v>7</v>
      </c>
      <c r="G140" t="s">
        <v>271</v>
      </c>
      <c r="H140" t="s">
        <v>47</v>
      </c>
      <c r="I140" t="s">
        <v>44</v>
      </c>
      <c r="J140" t="s">
        <v>37</v>
      </c>
      <c r="K140" t="str">
        <f t="shared" si="16"/>
        <v>General Complaint</v>
      </c>
      <c r="L140" t="s">
        <v>884</v>
      </c>
      <c r="M140" t="str">
        <f t="shared" si="17"/>
        <v>General complaint reported</v>
      </c>
      <c r="N140">
        <v>1</v>
      </c>
      <c r="O140" t="s">
        <v>18</v>
      </c>
      <c r="P140">
        <f t="shared" si="18"/>
        <v>3</v>
      </c>
      <c r="Q140" t="str">
        <f t="shared" si="19"/>
        <v>Delayed</v>
      </c>
      <c r="R140" t="str">
        <f t="shared" si="20"/>
        <v>Off140</v>
      </c>
      <c r="S140">
        <v>12</v>
      </c>
      <c r="T140">
        <v>44</v>
      </c>
      <c r="U140">
        <v>34816</v>
      </c>
      <c r="V140">
        <v>36686</v>
      </c>
      <c r="W140" t="str">
        <f t="shared" si="21"/>
        <v>Yes</v>
      </c>
      <c r="X140" t="str">
        <f t="shared" si="22"/>
        <v>Level 3</v>
      </c>
      <c r="Y140" s="2">
        <f t="shared" si="23"/>
        <v>45849</v>
      </c>
    </row>
    <row r="141" spans="1:25" x14ac:dyDescent="0.25">
      <c r="A141" t="s">
        <v>305</v>
      </c>
      <c r="B141" t="s">
        <v>28</v>
      </c>
      <c r="C141" t="s">
        <v>21</v>
      </c>
      <c r="D141" t="s">
        <v>13</v>
      </c>
      <c r="E141" t="s">
        <v>23</v>
      </c>
      <c r="F141" s="1">
        <v>27</v>
      </c>
      <c r="G141" t="s">
        <v>306</v>
      </c>
      <c r="H141" t="s">
        <v>16</v>
      </c>
      <c r="I141" t="s">
        <v>36</v>
      </c>
      <c r="J141" t="s">
        <v>18</v>
      </c>
      <c r="K141" t="str">
        <f t="shared" si="16"/>
        <v>Road Damage</v>
      </c>
      <c r="L141" t="s">
        <v>885</v>
      </c>
      <c r="M141" t="str">
        <f t="shared" si="17"/>
        <v>Road damaged due to heavy rain</v>
      </c>
      <c r="N141">
        <v>1</v>
      </c>
      <c r="O141" t="s">
        <v>18</v>
      </c>
      <c r="P141">
        <f t="shared" si="18"/>
        <v>15</v>
      </c>
      <c r="Q141" t="str">
        <f t="shared" si="19"/>
        <v>Delayed</v>
      </c>
      <c r="R141" t="str">
        <f t="shared" si="20"/>
        <v>Off141</v>
      </c>
      <c r="S141">
        <v>10</v>
      </c>
      <c r="T141">
        <v>8</v>
      </c>
      <c r="U141">
        <v>24293</v>
      </c>
      <c r="V141">
        <v>26055</v>
      </c>
      <c r="W141" t="str">
        <f t="shared" si="21"/>
        <v>Yes</v>
      </c>
      <c r="X141" t="str">
        <f t="shared" si="22"/>
        <v>Level 1</v>
      </c>
      <c r="Y141" s="2">
        <f t="shared" si="23"/>
        <v>45801</v>
      </c>
    </row>
    <row r="142" spans="1:25" x14ac:dyDescent="0.25">
      <c r="A142" t="s">
        <v>307</v>
      </c>
      <c r="B142" t="s">
        <v>28</v>
      </c>
      <c r="C142" t="s">
        <v>61</v>
      </c>
      <c r="D142" t="s">
        <v>13</v>
      </c>
      <c r="E142" t="s">
        <v>23</v>
      </c>
      <c r="F142" s="1">
        <v>4</v>
      </c>
      <c r="G142" t="s">
        <v>308</v>
      </c>
      <c r="H142" t="s">
        <v>16</v>
      </c>
      <c r="I142" t="s">
        <v>26</v>
      </c>
      <c r="J142" t="s">
        <v>37</v>
      </c>
      <c r="K142" t="str">
        <f t="shared" si="16"/>
        <v>Road Damage</v>
      </c>
      <c r="L142" t="s">
        <v>881</v>
      </c>
      <c r="M142" t="str">
        <f t="shared" si="17"/>
        <v>Road damaged due to heavy rain</v>
      </c>
      <c r="N142">
        <v>4</v>
      </c>
      <c r="O142" t="s">
        <v>37</v>
      </c>
      <c r="P142">
        <f t="shared" si="18"/>
        <v>15</v>
      </c>
      <c r="Q142" t="str">
        <f t="shared" si="19"/>
        <v>Within SLA</v>
      </c>
      <c r="R142" t="str">
        <f t="shared" si="20"/>
        <v>Off142</v>
      </c>
      <c r="S142">
        <v>5</v>
      </c>
      <c r="T142">
        <v>17</v>
      </c>
      <c r="U142">
        <v>22089</v>
      </c>
      <c r="V142">
        <v>20753</v>
      </c>
      <c r="W142" t="str">
        <f t="shared" si="21"/>
        <v>No</v>
      </c>
      <c r="X142" t="str">
        <f t="shared" si="22"/>
        <v>None</v>
      </c>
      <c r="Y142" s="2">
        <f t="shared" si="23"/>
        <v>45989</v>
      </c>
    </row>
    <row r="143" spans="1:25" x14ac:dyDescent="0.25">
      <c r="A143" t="s">
        <v>309</v>
      </c>
      <c r="B143" t="s">
        <v>28</v>
      </c>
      <c r="C143" t="s">
        <v>56</v>
      </c>
      <c r="D143" t="s">
        <v>13</v>
      </c>
      <c r="E143" t="s">
        <v>30</v>
      </c>
      <c r="F143" s="1">
        <v>8</v>
      </c>
      <c r="G143" t="s">
        <v>310</v>
      </c>
      <c r="H143" t="s">
        <v>51</v>
      </c>
      <c r="I143" t="s">
        <v>17</v>
      </c>
      <c r="J143" t="s">
        <v>18</v>
      </c>
      <c r="K143" t="str">
        <f t="shared" si="16"/>
        <v>Road Damage</v>
      </c>
      <c r="L143" t="s">
        <v>882</v>
      </c>
      <c r="M143" t="str">
        <f t="shared" si="17"/>
        <v>Road damaged due to heavy rain</v>
      </c>
      <c r="N143">
        <v>1</v>
      </c>
      <c r="O143" t="s">
        <v>18</v>
      </c>
      <c r="P143">
        <f t="shared" si="18"/>
        <v>15</v>
      </c>
      <c r="Q143" t="str">
        <f t="shared" si="19"/>
        <v>Within SLA</v>
      </c>
      <c r="R143" t="str">
        <f t="shared" si="20"/>
        <v>Off143</v>
      </c>
      <c r="S143">
        <v>7</v>
      </c>
      <c r="T143">
        <v>12</v>
      </c>
      <c r="U143">
        <v>17283</v>
      </c>
      <c r="V143">
        <v>16877</v>
      </c>
      <c r="W143" t="str">
        <f t="shared" si="21"/>
        <v>No</v>
      </c>
      <c r="X143" t="str">
        <f t="shared" si="22"/>
        <v>None</v>
      </c>
      <c r="Y143" s="2">
        <f t="shared" si="23"/>
        <v>46150</v>
      </c>
    </row>
    <row r="144" spans="1:25" x14ac:dyDescent="0.25">
      <c r="A144" t="s">
        <v>311</v>
      </c>
      <c r="B144" t="s">
        <v>28</v>
      </c>
      <c r="C144" t="s">
        <v>84</v>
      </c>
      <c r="D144" t="s">
        <v>22</v>
      </c>
      <c r="E144" t="s">
        <v>30</v>
      </c>
      <c r="F144" s="1">
        <v>32</v>
      </c>
      <c r="G144" t="s">
        <v>199</v>
      </c>
      <c r="H144" t="s">
        <v>40</v>
      </c>
      <c r="I144" t="s">
        <v>26</v>
      </c>
      <c r="J144" t="s">
        <v>18</v>
      </c>
      <c r="K144" t="str">
        <f t="shared" si="16"/>
        <v>Road Damage</v>
      </c>
      <c r="L144" t="s">
        <v>883</v>
      </c>
      <c r="M144" t="str">
        <f t="shared" si="17"/>
        <v>Road damaged due to heavy rain</v>
      </c>
      <c r="N144">
        <v>3</v>
      </c>
      <c r="O144" t="s">
        <v>37</v>
      </c>
      <c r="P144">
        <f t="shared" si="18"/>
        <v>7</v>
      </c>
      <c r="Q144" t="str">
        <f t="shared" si="19"/>
        <v>Delayed</v>
      </c>
      <c r="R144" t="str">
        <f t="shared" si="20"/>
        <v>Off144</v>
      </c>
      <c r="S144">
        <v>8</v>
      </c>
      <c r="T144">
        <v>38</v>
      </c>
      <c r="U144">
        <v>43990</v>
      </c>
      <c r="V144">
        <v>43423</v>
      </c>
      <c r="W144" t="str">
        <f t="shared" si="21"/>
        <v>Yes</v>
      </c>
      <c r="X144" t="str">
        <f t="shared" si="22"/>
        <v>Level 2</v>
      </c>
      <c r="Y144" s="2">
        <f t="shared" si="23"/>
        <v>45757</v>
      </c>
    </row>
    <row r="145" spans="1:25" x14ac:dyDescent="0.25">
      <c r="A145" t="s">
        <v>312</v>
      </c>
      <c r="B145" t="s">
        <v>11</v>
      </c>
      <c r="C145" t="s">
        <v>12</v>
      </c>
      <c r="D145" t="s">
        <v>13</v>
      </c>
      <c r="E145" t="s">
        <v>23</v>
      </c>
      <c r="F145" s="1">
        <v>17</v>
      </c>
      <c r="G145" t="s">
        <v>313</v>
      </c>
      <c r="H145" t="s">
        <v>47</v>
      </c>
      <c r="I145" t="s">
        <v>17</v>
      </c>
      <c r="J145" t="s">
        <v>18</v>
      </c>
      <c r="K145" t="str">
        <f t="shared" si="16"/>
        <v>Water Leakage</v>
      </c>
      <c r="L145" t="s">
        <v>884</v>
      </c>
      <c r="M145" t="str">
        <f t="shared" si="17"/>
        <v>Water pipe leakage near school</v>
      </c>
      <c r="N145">
        <v>5</v>
      </c>
      <c r="O145" t="s">
        <v>37</v>
      </c>
      <c r="P145">
        <f t="shared" si="18"/>
        <v>15</v>
      </c>
      <c r="Q145" t="str">
        <f t="shared" si="19"/>
        <v>Delayed</v>
      </c>
      <c r="R145" t="str">
        <f t="shared" si="20"/>
        <v>Off145</v>
      </c>
      <c r="S145">
        <v>14</v>
      </c>
      <c r="T145">
        <v>36</v>
      </c>
      <c r="U145">
        <v>26058</v>
      </c>
      <c r="V145">
        <v>24088</v>
      </c>
      <c r="W145" t="str">
        <f t="shared" si="21"/>
        <v>Yes</v>
      </c>
      <c r="X145" t="str">
        <f t="shared" si="22"/>
        <v>Level 1</v>
      </c>
      <c r="Y145" s="2">
        <f t="shared" si="23"/>
        <v>45814</v>
      </c>
    </row>
    <row r="146" spans="1:25" x14ac:dyDescent="0.25">
      <c r="A146" t="s">
        <v>314</v>
      </c>
      <c r="B146" t="s">
        <v>69</v>
      </c>
      <c r="C146" t="s">
        <v>33</v>
      </c>
      <c r="D146" t="s">
        <v>13</v>
      </c>
      <c r="E146" t="s">
        <v>30</v>
      </c>
      <c r="F146" s="1">
        <v>38</v>
      </c>
      <c r="G146" t="s">
        <v>315</v>
      </c>
      <c r="H146" t="s">
        <v>51</v>
      </c>
      <c r="I146" t="s">
        <v>36</v>
      </c>
      <c r="J146" t="s">
        <v>18</v>
      </c>
      <c r="K146" t="str">
        <f t="shared" si="16"/>
        <v>General Complaint</v>
      </c>
      <c r="L146" t="s">
        <v>885</v>
      </c>
      <c r="M146" t="str">
        <f t="shared" si="17"/>
        <v>General complaint reported</v>
      </c>
      <c r="N146">
        <v>2</v>
      </c>
      <c r="O146" t="s">
        <v>18</v>
      </c>
      <c r="P146">
        <f t="shared" si="18"/>
        <v>15</v>
      </c>
      <c r="Q146" t="str">
        <f t="shared" si="19"/>
        <v>Delayed</v>
      </c>
      <c r="R146" t="str">
        <f t="shared" si="20"/>
        <v>Off146</v>
      </c>
      <c r="S146">
        <v>5</v>
      </c>
      <c r="T146">
        <v>17</v>
      </c>
      <c r="U146">
        <v>41319</v>
      </c>
      <c r="V146">
        <v>39961</v>
      </c>
      <c r="W146" t="str">
        <f t="shared" si="21"/>
        <v>Yes</v>
      </c>
      <c r="X146" t="str">
        <f t="shared" si="22"/>
        <v>Level 1</v>
      </c>
      <c r="Y146" s="2">
        <f t="shared" si="23"/>
        <v>46021</v>
      </c>
    </row>
    <row r="147" spans="1:25" x14ac:dyDescent="0.25">
      <c r="A147" t="s">
        <v>316</v>
      </c>
      <c r="B147" t="s">
        <v>69</v>
      </c>
      <c r="C147" t="s">
        <v>56</v>
      </c>
      <c r="D147" t="s">
        <v>22</v>
      </c>
      <c r="E147" t="s">
        <v>14</v>
      </c>
      <c r="F147" s="1">
        <v>25</v>
      </c>
      <c r="G147" t="s">
        <v>317</v>
      </c>
      <c r="H147" t="s">
        <v>51</v>
      </c>
      <c r="I147" t="s">
        <v>17</v>
      </c>
      <c r="J147" t="s">
        <v>18</v>
      </c>
      <c r="K147" t="str">
        <f t="shared" si="16"/>
        <v>General Complaint</v>
      </c>
      <c r="L147" t="s">
        <v>881</v>
      </c>
      <c r="M147" t="str">
        <f t="shared" si="17"/>
        <v>General complaint reported</v>
      </c>
      <c r="N147">
        <v>4</v>
      </c>
      <c r="O147" t="s">
        <v>37</v>
      </c>
      <c r="P147">
        <f t="shared" si="18"/>
        <v>7</v>
      </c>
      <c r="Q147" t="str">
        <f t="shared" si="19"/>
        <v>Delayed</v>
      </c>
      <c r="R147" t="str">
        <f t="shared" si="20"/>
        <v>Off147</v>
      </c>
      <c r="S147">
        <v>12</v>
      </c>
      <c r="T147">
        <v>31</v>
      </c>
      <c r="U147">
        <v>18224</v>
      </c>
      <c r="V147">
        <v>19694</v>
      </c>
      <c r="W147" t="str">
        <f t="shared" si="21"/>
        <v>Yes</v>
      </c>
      <c r="X147" t="str">
        <f t="shared" si="22"/>
        <v>Level 2</v>
      </c>
      <c r="Y147" s="2">
        <f t="shared" si="23"/>
        <v>46193</v>
      </c>
    </row>
    <row r="148" spans="1:25" x14ac:dyDescent="0.25">
      <c r="A148" t="s">
        <v>318</v>
      </c>
      <c r="B148" t="s">
        <v>28</v>
      </c>
      <c r="C148" t="s">
        <v>29</v>
      </c>
      <c r="D148" t="s">
        <v>22</v>
      </c>
      <c r="E148" t="s">
        <v>42</v>
      </c>
      <c r="F148" s="1">
        <v>23</v>
      </c>
      <c r="G148" t="s">
        <v>216</v>
      </c>
      <c r="H148" t="s">
        <v>25</v>
      </c>
      <c r="I148" t="s">
        <v>65</v>
      </c>
      <c r="J148" t="s">
        <v>18</v>
      </c>
      <c r="K148" t="str">
        <f t="shared" si="16"/>
        <v>Road Damage</v>
      </c>
      <c r="L148" t="s">
        <v>882</v>
      </c>
      <c r="M148" t="str">
        <f t="shared" si="17"/>
        <v>Road damaged due to heavy rain</v>
      </c>
      <c r="N148">
        <v>5</v>
      </c>
      <c r="O148" t="s">
        <v>37</v>
      </c>
      <c r="P148">
        <f t="shared" si="18"/>
        <v>7</v>
      </c>
      <c r="Q148" t="str">
        <f t="shared" si="19"/>
        <v>Delayed</v>
      </c>
      <c r="R148" t="str">
        <f t="shared" si="20"/>
        <v>Off148</v>
      </c>
      <c r="S148">
        <v>12</v>
      </c>
      <c r="T148">
        <v>46</v>
      </c>
      <c r="U148">
        <v>13165</v>
      </c>
      <c r="V148">
        <v>13075</v>
      </c>
      <c r="W148" t="str">
        <f t="shared" si="21"/>
        <v>Yes</v>
      </c>
      <c r="X148" t="str">
        <f t="shared" si="22"/>
        <v>Level 2</v>
      </c>
      <c r="Y148" s="2">
        <f t="shared" si="23"/>
        <v>45737</v>
      </c>
    </row>
    <row r="149" spans="1:25" x14ac:dyDescent="0.25">
      <c r="A149" t="s">
        <v>319</v>
      </c>
      <c r="B149" t="s">
        <v>69</v>
      </c>
      <c r="C149" t="s">
        <v>39</v>
      </c>
      <c r="D149" t="s">
        <v>13</v>
      </c>
      <c r="E149" t="s">
        <v>23</v>
      </c>
      <c r="F149" s="1">
        <v>3</v>
      </c>
      <c r="G149" t="s">
        <v>216</v>
      </c>
      <c r="H149" t="s">
        <v>51</v>
      </c>
      <c r="I149" t="s">
        <v>44</v>
      </c>
      <c r="J149" t="s">
        <v>37</v>
      </c>
      <c r="K149" t="str">
        <f t="shared" si="16"/>
        <v>General Complaint</v>
      </c>
      <c r="L149" t="s">
        <v>883</v>
      </c>
      <c r="M149" t="str">
        <f t="shared" si="17"/>
        <v>General complaint reported</v>
      </c>
      <c r="N149">
        <v>4</v>
      </c>
      <c r="O149" t="s">
        <v>37</v>
      </c>
      <c r="P149">
        <f t="shared" si="18"/>
        <v>15</v>
      </c>
      <c r="Q149" t="str">
        <f t="shared" si="19"/>
        <v>Within SLA</v>
      </c>
      <c r="R149" t="str">
        <f t="shared" si="20"/>
        <v>Off149</v>
      </c>
      <c r="S149">
        <v>9</v>
      </c>
      <c r="T149">
        <v>26</v>
      </c>
      <c r="U149">
        <v>43160</v>
      </c>
      <c r="V149">
        <v>43497</v>
      </c>
      <c r="W149" t="str">
        <f t="shared" si="21"/>
        <v>No</v>
      </c>
      <c r="X149" t="str">
        <f t="shared" si="22"/>
        <v>None</v>
      </c>
      <c r="Y149" s="2">
        <f t="shared" si="23"/>
        <v>45717</v>
      </c>
    </row>
    <row r="150" spans="1:25" x14ac:dyDescent="0.25">
      <c r="A150" t="s">
        <v>320</v>
      </c>
      <c r="B150" t="s">
        <v>20</v>
      </c>
      <c r="C150" t="s">
        <v>33</v>
      </c>
      <c r="D150" t="s">
        <v>13</v>
      </c>
      <c r="E150" t="s">
        <v>14</v>
      </c>
      <c r="F150" s="1">
        <v>23</v>
      </c>
      <c r="G150" t="s">
        <v>321</v>
      </c>
      <c r="H150" t="s">
        <v>51</v>
      </c>
      <c r="I150" t="s">
        <v>26</v>
      </c>
      <c r="J150" t="s">
        <v>18</v>
      </c>
      <c r="K150" t="str">
        <f t="shared" si="16"/>
        <v>Garbage Collection</v>
      </c>
      <c r="L150" t="s">
        <v>884</v>
      </c>
      <c r="M150" t="str">
        <f t="shared" si="17"/>
        <v>Garbage not collected for 3 days</v>
      </c>
      <c r="N150">
        <v>3</v>
      </c>
      <c r="O150" t="s">
        <v>37</v>
      </c>
      <c r="P150">
        <f t="shared" si="18"/>
        <v>15</v>
      </c>
      <c r="Q150" t="str">
        <f t="shared" si="19"/>
        <v>Delayed</v>
      </c>
      <c r="R150" t="str">
        <f t="shared" si="20"/>
        <v>Off150</v>
      </c>
      <c r="S150">
        <v>10</v>
      </c>
      <c r="T150">
        <v>18</v>
      </c>
      <c r="U150">
        <v>23255</v>
      </c>
      <c r="V150">
        <v>23626</v>
      </c>
      <c r="W150" t="str">
        <f t="shared" si="21"/>
        <v>Yes</v>
      </c>
      <c r="X150" t="str">
        <f t="shared" si="22"/>
        <v>Level 1</v>
      </c>
      <c r="Y150" s="2">
        <f t="shared" si="23"/>
        <v>45805</v>
      </c>
    </row>
    <row r="151" spans="1:25" x14ac:dyDescent="0.25">
      <c r="A151" t="s">
        <v>322</v>
      </c>
      <c r="B151" t="s">
        <v>20</v>
      </c>
      <c r="C151" t="s">
        <v>84</v>
      </c>
      <c r="D151" t="s">
        <v>13</v>
      </c>
      <c r="E151" t="s">
        <v>23</v>
      </c>
      <c r="F151" s="1">
        <v>5</v>
      </c>
      <c r="G151" t="s">
        <v>323</v>
      </c>
      <c r="H151" t="s">
        <v>16</v>
      </c>
      <c r="I151" t="s">
        <v>17</v>
      </c>
      <c r="J151" t="s">
        <v>37</v>
      </c>
      <c r="K151" t="str">
        <f t="shared" si="16"/>
        <v>Garbage Collection</v>
      </c>
      <c r="L151" t="s">
        <v>885</v>
      </c>
      <c r="M151" t="str">
        <f t="shared" si="17"/>
        <v>Garbage not collected for 3 days</v>
      </c>
      <c r="N151">
        <v>1</v>
      </c>
      <c r="O151" t="s">
        <v>18</v>
      </c>
      <c r="P151">
        <f t="shared" si="18"/>
        <v>15</v>
      </c>
      <c r="Q151" t="str">
        <f t="shared" si="19"/>
        <v>Within SLA</v>
      </c>
      <c r="R151" t="str">
        <f t="shared" si="20"/>
        <v>Off151</v>
      </c>
      <c r="S151">
        <v>8</v>
      </c>
      <c r="T151">
        <v>28</v>
      </c>
      <c r="U151">
        <v>21412</v>
      </c>
      <c r="V151">
        <v>22061</v>
      </c>
      <c r="W151" t="str">
        <f t="shared" si="21"/>
        <v>No</v>
      </c>
      <c r="X151" t="str">
        <f t="shared" si="22"/>
        <v>None</v>
      </c>
      <c r="Y151" s="2">
        <f t="shared" si="23"/>
        <v>45707</v>
      </c>
    </row>
    <row r="152" spans="1:25" x14ac:dyDescent="0.25">
      <c r="A152" t="s">
        <v>324</v>
      </c>
      <c r="B152" t="s">
        <v>60</v>
      </c>
      <c r="C152" t="s">
        <v>49</v>
      </c>
      <c r="D152" t="s">
        <v>34</v>
      </c>
      <c r="E152" t="s">
        <v>23</v>
      </c>
      <c r="F152" s="1">
        <v>24</v>
      </c>
      <c r="G152" t="s">
        <v>325</v>
      </c>
      <c r="H152" t="s">
        <v>16</v>
      </c>
      <c r="I152" t="s">
        <v>65</v>
      </c>
      <c r="J152" t="s">
        <v>18</v>
      </c>
      <c r="K152" t="str">
        <f t="shared" si="16"/>
        <v>General Complaint</v>
      </c>
      <c r="L152" t="s">
        <v>881</v>
      </c>
      <c r="M152" t="str">
        <f t="shared" si="17"/>
        <v>General complaint reported</v>
      </c>
      <c r="N152">
        <v>3</v>
      </c>
      <c r="O152" t="s">
        <v>37</v>
      </c>
      <c r="P152">
        <f t="shared" si="18"/>
        <v>3</v>
      </c>
      <c r="Q152" t="str">
        <f t="shared" si="19"/>
        <v>Delayed</v>
      </c>
      <c r="R152" t="str">
        <f t="shared" si="20"/>
        <v>Off152</v>
      </c>
      <c r="S152">
        <v>6</v>
      </c>
      <c r="T152">
        <v>28</v>
      </c>
      <c r="U152">
        <v>20757</v>
      </c>
      <c r="V152">
        <v>19686</v>
      </c>
      <c r="W152" t="str">
        <f t="shared" si="21"/>
        <v>Yes</v>
      </c>
      <c r="X152" t="str">
        <f t="shared" si="22"/>
        <v>Level 3</v>
      </c>
      <c r="Y152" s="2">
        <f t="shared" si="23"/>
        <v>46010</v>
      </c>
    </row>
    <row r="153" spans="1:25" x14ac:dyDescent="0.25">
      <c r="A153" t="s">
        <v>326</v>
      </c>
      <c r="B153" t="s">
        <v>28</v>
      </c>
      <c r="C153" t="s">
        <v>61</v>
      </c>
      <c r="D153" t="s">
        <v>13</v>
      </c>
      <c r="E153" t="s">
        <v>42</v>
      </c>
      <c r="F153" s="1">
        <v>12</v>
      </c>
      <c r="G153" t="s">
        <v>327</v>
      </c>
      <c r="H153" t="s">
        <v>25</v>
      </c>
      <c r="I153" t="s">
        <v>26</v>
      </c>
      <c r="J153" t="s">
        <v>18</v>
      </c>
      <c r="K153" t="str">
        <f t="shared" si="16"/>
        <v>Road Damage</v>
      </c>
      <c r="L153" t="s">
        <v>882</v>
      </c>
      <c r="M153" t="str">
        <f t="shared" si="17"/>
        <v>Road damaged due to heavy rain</v>
      </c>
      <c r="N153">
        <v>2</v>
      </c>
      <c r="O153" t="s">
        <v>18</v>
      </c>
      <c r="P153">
        <f t="shared" si="18"/>
        <v>15</v>
      </c>
      <c r="Q153" t="str">
        <f t="shared" si="19"/>
        <v>Within SLA</v>
      </c>
      <c r="R153" t="str">
        <f t="shared" si="20"/>
        <v>Off153</v>
      </c>
      <c r="S153">
        <v>7</v>
      </c>
      <c r="T153">
        <v>14</v>
      </c>
      <c r="U153">
        <v>40882</v>
      </c>
      <c r="V153">
        <v>42737</v>
      </c>
      <c r="W153" t="str">
        <f t="shared" si="21"/>
        <v>No</v>
      </c>
      <c r="X153" t="str">
        <f t="shared" si="22"/>
        <v>None</v>
      </c>
      <c r="Y153" s="2">
        <f t="shared" si="23"/>
        <v>45828</v>
      </c>
    </row>
    <row r="154" spans="1:25" x14ac:dyDescent="0.25">
      <c r="A154" t="s">
        <v>328</v>
      </c>
      <c r="B154" t="s">
        <v>28</v>
      </c>
      <c r="C154" t="s">
        <v>29</v>
      </c>
      <c r="D154" t="s">
        <v>34</v>
      </c>
      <c r="E154" t="s">
        <v>14</v>
      </c>
      <c r="F154" s="1">
        <v>43</v>
      </c>
      <c r="G154" t="s">
        <v>329</v>
      </c>
      <c r="H154" t="s">
        <v>40</v>
      </c>
      <c r="I154" t="s">
        <v>36</v>
      </c>
      <c r="J154" t="s">
        <v>18</v>
      </c>
      <c r="K154" t="str">
        <f t="shared" si="16"/>
        <v>Road Damage</v>
      </c>
      <c r="L154" t="s">
        <v>883</v>
      </c>
      <c r="M154" t="str">
        <f t="shared" si="17"/>
        <v>Road damaged due to heavy rain</v>
      </c>
      <c r="N154">
        <v>3</v>
      </c>
      <c r="O154" t="s">
        <v>37</v>
      </c>
      <c r="P154">
        <f t="shared" si="18"/>
        <v>3</v>
      </c>
      <c r="Q154" t="str">
        <f t="shared" si="19"/>
        <v>Delayed</v>
      </c>
      <c r="R154" t="str">
        <f t="shared" si="20"/>
        <v>Off154</v>
      </c>
      <c r="S154">
        <v>4</v>
      </c>
      <c r="T154">
        <v>8</v>
      </c>
      <c r="U154">
        <v>27247</v>
      </c>
      <c r="V154">
        <v>29234</v>
      </c>
      <c r="W154" t="str">
        <f t="shared" si="21"/>
        <v>Yes</v>
      </c>
      <c r="X154" t="str">
        <f t="shared" si="22"/>
        <v>Level 3</v>
      </c>
      <c r="Y154" s="2">
        <f t="shared" si="23"/>
        <v>45979</v>
      </c>
    </row>
    <row r="155" spans="1:25" x14ac:dyDescent="0.25">
      <c r="A155" t="s">
        <v>330</v>
      </c>
      <c r="B155" t="s">
        <v>60</v>
      </c>
      <c r="C155" t="s">
        <v>12</v>
      </c>
      <c r="D155" t="s">
        <v>22</v>
      </c>
      <c r="E155" t="s">
        <v>42</v>
      </c>
      <c r="F155" s="1">
        <v>1</v>
      </c>
      <c r="G155" t="s">
        <v>331</v>
      </c>
      <c r="H155" t="s">
        <v>25</v>
      </c>
      <c r="I155" t="s">
        <v>44</v>
      </c>
      <c r="J155" t="s">
        <v>37</v>
      </c>
      <c r="K155" t="str">
        <f t="shared" si="16"/>
        <v>General Complaint</v>
      </c>
      <c r="L155" t="s">
        <v>884</v>
      </c>
      <c r="M155" t="str">
        <f t="shared" si="17"/>
        <v>General complaint reported</v>
      </c>
      <c r="N155">
        <v>4</v>
      </c>
      <c r="O155" t="s">
        <v>37</v>
      </c>
      <c r="P155">
        <f t="shared" si="18"/>
        <v>7</v>
      </c>
      <c r="Q155" t="str">
        <f t="shared" si="19"/>
        <v>Within SLA</v>
      </c>
      <c r="R155" t="str">
        <f t="shared" si="20"/>
        <v>Off155</v>
      </c>
      <c r="S155">
        <v>7</v>
      </c>
      <c r="T155">
        <v>34</v>
      </c>
      <c r="U155">
        <v>14789</v>
      </c>
      <c r="V155">
        <v>15653</v>
      </c>
      <c r="W155" t="str">
        <f t="shared" si="21"/>
        <v>No</v>
      </c>
      <c r="X155" t="str">
        <f t="shared" si="22"/>
        <v>None</v>
      </c>
      <c r="Y155" s="2">
        <f t="shared" si="23"/>
        <v>45668</v>
      </c>
    </row>
    <row r="156" spans="1:25" x14ac:dyDescent="0.25">
      <c r="A156" t="s">
        <v>332</v>
      </c>
      <c r="B156" t="s">
        <v>53</v>
      </c>
      <c r="C156" t="s">
        <v>49</v>
      </c>
      <c r="D156" t="s">
        <v>22</v>
      </c>
      <c r="E156" t="s">
        <v>14</v>
      </c>
      <c r="F156" s="1">
        <v>44</v>
      </c>
      <c r="G156" t="s">
        <v>333</v>
      </c>
      <c r="H156" t="s">
        <v>58</v>
      </c>
      <c r="I156" t="s">
        <v>65</v>
      </c>
      <c r="J156" t="s">
        <v>18</v>
      </c>
      <c r="K156" t="str">
        <f t="shared" si="16"/>
        <v>Public Transport Delay</v>
      </c>
      <c r="L156" t="s">
        <v>885</v>
      </c>
      <c r="M156" t="str">
        <f t="shared" si="17"/>
        <v>Bus arrival delay reported</v>
      </c>
      <c r="N156">
        <v>1</v>
      </c>
      <c r="O156" t="s">
        <v>18</v>
      </c>
      <c r="P156">
        <f t="shared" si="18"/>
        <v>7</v>
      </c>
      <c r="Q156" t="str">
        <f t="shared" si="19"/>
        <v>Delayed</v>
      </c>
      <c r="R156" t="str">
        <f t="shared" si="20"/>
        <v>Off156</v>
      </c>
      <c r="S156">
        <v>3</v>
      </c>
      <c r="T156">
        <v>19</v>
      </c>
      <c r="U156">
        <v>6890</v>
      </c>
      <c r="V156">
        <v>5265</v>
      </c>
      <c r="W156" t="str">
        <f t="shared" si="21"/>
        <v>Yes</v>
      </c>
      <c r="X156" t="str">
        <f t="shared" si="22"/>
        <v>Level 2</v>
      </c>
      <c r="Y156" s="2">
        <f t="shared" si="23"/>
        <v>46204</v>
      </c>
    </row>
    <row r="157" spans="1:25" x14ac:dyDescent="0.25">
      <c r="A157" t="s">
        <v>334</v>
      </c>
      <c r="B157" t="s">
        <v>60</v>
      </c>
      <c r="C157" t="s">
        <v>76</v>
      </c>
      <c r="D157" t="s">
        <v>34</v>
      </c>
      <c r="E157" t="s">
        <v>23</v>
      </c>
      <c r="F157" s="1">
        <v>25</v>
      </c>
      <c r="G157" t="s">
        <v>335</v>
      </c>
      <c r="H157" t="s">
        <v>51</v>
      </c>
      <c r="I157" t="s">
        <v>17</v>
      </c>
      <c r="J157" t="s">
        <v>18</v>
      </c>
      <c r="K157" t="str">
        <f t="shared" si="16"/>
        <v>General Complaint</v>
      </c>
      <c r="L157" t="s">
        <v>881</v>
      </c>
      <c r="M157" t="str">
        <f t="shared" si="17"/>
        <v>General complaint reported</v>
      </c>
      <c r="N157">
        <v>5</v>
      </c>
      <c r="O157" t="s">
        <v>37</v>
      </c>
      <c r="P157">
        <f t="shared" si="18"/>
        <v>3</v>
      </c>
      <c r="Q157" t="str">
        <f t="shared" si="19"/>
        <v>Delayed</v>
      </c>
      <c r="R157" t="str">
        <f t="shared" si="20"/>
        <v>Off157</v>
      </c>
      <c r="S157">
        <v>1</v>
      </c>
      <c r="T157">
        <v>47</v>
      </c>
      <c r="U157">
        <v>19663</v>
      </c>
      <c r="V157">
        <v>20650</v>
      </c>
      <c r="W157" t="str">
        <f t="shared" si="21"/>
        <v>Yes</v>
      </c>
      <c r="X157" t="str">
        <f t="shared" si="22"/>
        <v>Level 3</v>
      </c>
      <c r="Y157" s="2">
        <f t="shared" si="23"/>
        <v>46073</v>
      </c>
    </row>
    <row r="158" spans="1:25" x14ac:dyDescent="0.25">
      <c r="A158" t="s">
        <v>336</v>
      </c>
      <c r="B158" t="s">
        <v>60</v>
      </c>
      <c r="C158" t="s">
        <v>29</v>
      </c>
      <c r="D158" t="s">
        <v>22</v>
      </c>
      <c r="E158" t="s">
        <v>42</v>
      </c>
      <c r="F158" s="1">
        <v>23</v>
      </c>
      <c r="G158" t="s">
        <v>337</v>
      </c>
      <c r="H158" t="s">
        <v>40</v>
      </c>
      <c r="I158" t="s">
        <v>44</v>
      </c>
      <c r="J158" t="s">
        <v>18</v>
      </c>
      <c r="K158" t="str">
        <f t="shared" si="16"/>
        <v>General Complaint</v>
      </c>
      <c r="L158" t="s">
        <v>882</v>
      </c>
      <c r="M158" t="str">
        <f t="shared" si="17"/>
        <v>General complaint reported</v>
      </c>
      <c r="N158">
        <v>5</v>
      </c>
      <c r="O158" t="s">
        <v>37</v>
      </c>
      <c r="P158">
        <f t="shared" si="18"/>
        <v>7</v>
      </c>
      <c r="Q158" t="str">
        <f t="shared" si="19"/>
        <v>Delayed</v>
      </c>
      <c r="R158" t="str">
        <f t="shared" si="20"/>
        <v>Off158</v>
      </c>
      <c r="S158">
        <v>10</v>
      </c>
      <c r="T158">
        <v>15</v>
      </c>
      <c r="U158">
        <v>43578</v>
      </c>
      <c r="V158">
        <v>45133</v>
      </c>
      <c r="W158" t="str">
        <f t="shared" si="21"/>
        <v>Yes</v>
      </c>
      <c r="X158" t="str">
        <f t="shared" si="22"/>
        <v>Level 2</v>
      </c>
      <c r="Y158" s="2">
        <f t="shared" si="23"/>
        <v>46113</v>
      </c>
    </row>
    <row r="159" spans="1:25" x14ac:dyDescent="0.25">
      <c r="A159" t="s">
        <v>338</v>
      </c>
      <c r="B159" t="s">
        <v>28</v>
      </c>
      <c r="C159" t="s">
        <v>21</v>
      </c>
      <c r="D159" t="s">
        <v>22</v>
      </c>
      <c r="E159" t="s">
        <v>42</v>
      </c>
      <c r="F159" s="1">
        <v>28</v>
      </c>
      <c r="G159" t="s">
        <v>339</v>
      </c>
      <c r="H159" t="s">
        <v>47</v>
      </c>
      <c r="I159" t="s">
        <v>17</v>
      </c>
      <c r="J159" t="s">
        <v>18</v>
      </c>
      <c r="K159" t="str">
        <f t="shared" si="16"/>
        <v>Road Damage</v>
      </c>
      <c r="L159" t="s">
        <v>883</v>
      </c>
      <c r="M159" t="str">
        <f t="shared" si="17"/>
        <v>Road damaged due to heavy rain</v>
      </c>
      <c r="N159">
        <v>2</v>
      </c>
      <c r="O159" t="s">
        <v>18</v>
      </c>
      <c r="P159">
        <f t="shared" si="18"/>
        <v>7</v>
      </c>
      <c r="Q159" t="str">
        <f t="shared" si="19"/>
        <v>Delayed</v>
      </c>
      <c r="R159" t="str">
        <f t="shared" si="20"/>
        <v>Off159</v>
      </c>
      <c r="S159">
        <v>15</v>
      </c>
      <c r="T159">
        <v>28</v>
      </c>
      <c r="U159">
        <v>15444</v>
      </c>
      <c r="V159">
        <v>14874</v>
      </c>
      <c r="W159" t="str">
        <f t="shared" si="21"/>
        <v>Yes</v>
      </c>
      <c r="X159" t="str">
        <f t="shared" si="22"/>
        <v>Level 2</v>
      </c>
      <c r="Y159" s="2">
        <f t="shared" si="23"/>
        <v>46191</v>
      </c>
    </row>
    <row r="160" spans="1:25" x14ac:dyDescent="0.25">
      <c r="A160" t="s">
        <v>340</v>
      </c>
      <c r="B160" t="s">
        <v>28</v>
      </c>
      <c r="C160" t="s">
        <v>29</v>
      </c>
      <c r="D160" t="s">
        <v>13</v>
      </c>
      <c r="E160" t="s">
        <v>14</v>
      </c>
      <c r="F160" s="1">
        <v>32</v>
      </c>
      <c r="G160" t="s">
        <v>341</v>
      </c>
      <c r="H160" t="s">
        <v>40</v>
      </c>
      <c r="I160" t="s">
        <v>26</v>
      </c>
      <c r="J160" t="s">
        <v>18</v>
      </c>
      <c r="K160" t="str">
        <f t="shared" si="16"/>
        <v>Road Damage</v>
      </c>
      <c r="L160" t="s">
        <v>884</v>
      </c>
      <c r="M160" t="str">
        <f t="shared" si="17"/>
        <v>Road damaged due to heavy rain</v>
      </c>
      <c r="N160">
        <v>4</v>
      </c>
      <c r="O160" t="s">
        <v>37</v>
      </c>
      <c r="P160">
        <f t="shared" si="18"/>
        <v>15</v>
      </c>
      <c r="Q160" t="str">
        <f t="shared" si="19"/>
        <v>Delayed</v>
      </c>
      <c r="R160" t="str">
        <f t="shared" si="20"/>
        <v>Off160</v>
      </c>
      <c r="S160">
        <v>13</v>
      </c>
      <c r="T160">
        <v>5</v>
      </c>
      <c r="U160">
        <v>41110</v>
      </c>
      <c r="V160">
        <v>42107</v>
      </c>
      <c r="W160" t="str">
        <f t="shared" si="21"/>
        <v>Yes</v>
      </c>
      <c r="X160" t="str">
        <f t="shared" si="22"/>
        <v>Level 1</v>
      </c>
      <c r="Y160" s="2">
        <f t="shared" si="23"/>
        <v>46159</v>
      </c>
    </row>
    <row r="161" spans="1:25" x14ac:dyDescent="0.25">
      <c r="A161" t="s">
        <v>342</v>
      </c>
      <c r="B161" t="s">
        <v>28</v>
      </c>
      <c r="C161" t="s">
        <v>39</v>
      </c>
      <c r="D161" t="s">
        <v>13</v>
      </c>
      <c r="E161" t="s">
        <v>42</v>
      </c>
      <c r="F161" s="1">
        <v>24</v>
      </c>
      <c r="G161" t="s">
        <v>343</v>
      </c>
      <c r="H161" t="s">
        <v>51</v>
      </c>
      <c r="I161" t="s">
        <v>17</v>
      </c>
      <c r="J161" t="s">
        <v>18</v>
      </c>
      <c r="K161" t="str">
        <f t="shared" si="16"/>
        <v>Road Damage</v>
      </c>
      <c r="L161" t="s">
        <v>885</v>
      </c>
      <c r="M161" t="str">
        <f t="shared" si="17"/>
        <v>Road damaged due to heavy rain</v>
      </c>
      <c r="N161">
        <v>5</v>
      </c>
      <c r="O161" t="s">
        <v>37</v>
      </c>
      <c r="P161">
        <f t="shared" si="18"/>
        <v>15</v>
      </c>
      <c r="Q161" t="str">
        <f t="shared" si="19"/>
        <v>Delayed</v>
      </c>
      <c r="R161" t="str">
        <f t="shared" si="20"/>
        <v>Off161</v>
      </c>
      <c r="S161">
        <v>10</v>
      </c>
      <c r="T161">
        <v>26</v>
      </c>
      <c r="U161">
        <v>12972</v>
      </c>
      <c r="V161">
        <v>13038</v>
      </c>
      <c r="W161" t="str">
        <f t="shared" si="21"/>
        <v>Yes</v>
      </c>
      <c r="X161" t="str">
        <f t="shared" si="22"/>
        <v>Level 1</v>
      </c>
      <c r="Y161" s="2">
        <f t="shared" si="23"/>
        <v>45697</v>
      </c>
    </row>
    <row r="162" spans="1:25" x14ac:dyDescent="0.25">
      <c r="A162" t="s">
        <v>344</v>
      </c>
      <c r="B162" t="s">
        <v>60</v>
      </c>
      <c r="C162" t="s">
        <v>49</v>
      </c>
      <c r="D162" t="s">
        <v>34</v>
      </c>
      <c r="E162" t="s">
        <v>30</v>
      </c>
      <c r="F162" s="1">
        <v>45</v>
      </c>
      <c r="G162" t="s">
        <v>345</v>
      </c>
      <c r="H162" t="s">
        <v>47</v>
      </c>
      <c r="I162" t="s">
        <v>17</v>
      </c>
      <c r="J162" t="s">
        <v>18</v>
      </c>
      <c r="K162" t="str">
        <f t="shared" si="16"/>
        <v>General Complaint</v>
      </c>
      <c r="L162" t="s">
        <v>881</v>
      </c>
      <c r="M162" t="str">
        <f t="shared" si="17"/>
        <v>General complaint reported</v>
      </c>
      <c r="N162">
        <v>5</v>
      </c>
      <c r="O162" t="s">
        <v>37</v>
      </c>
      <c r="P162">
        <f t="shared" si="18"/>
        <v>3</v>
      </c>
      <c r="Q162" t="str">
        <f t="shared" si="19"/>
        <v>Delayed</v>
      </c>
      <c r="R162" t="str">
        <f t="shared" si="20"/>
        <v>Off162</v>
      </c>
      <c r="S162">
        <v>2</v>
      </c>
      <c r="T162">
        <v>20</v>
      </c>
      <c r="U162">
        <v>45192</v>
      </c>
      <c r="V162">
        <v>45908</v>
      </c>
      <c r="W162" t="str">
        <f t="shared" si="21"/>
        <v>Yes</v>
      </c>
      <c r="X162" t="str">
        <f t="shared" si="22"/>
        <v>Level 3</v>
      </c>
      <c r="Y162" s="2">
        <f t="shared" si="23"/>
        <v>45806</v>
      </c>
    </row>
    <row r="163" spans="1:25" x14ac:dyDescent="0.25">
      <c r="A163" t="s">
        <v>346</v>
      </c>
      <c r="B163" t="s">
        <v>53</v>
      </c>
      <c r="C163" t="s">
        <v>12</v>
      </c>
      <c r="D163" t="s">
        <v>13</v>
      </c>
      <c r="E163" t="s">
        <v>23</v>
      </c>
      <c r="F163" s="1">
        <v>10</v>
      </c>
      <c r="G163" t="s">
        <v>347</v>
      </c>
      <c r="H163" t="s">
        <v>16</v>
      </c>
      <c r="I163" t="s">
        <v>44</v>
      </c>
      <c r="J163" t="s">
        <v>18</v>
      </c>
      <c r="K163" t="str">
        <f t="shared" si="16"/>
        <v>Public Transport Delay</v>
      </c>
      <c r="L163" t="s">
        <v>882</v>
      </c>
      <c r="M163" t="str">
        <f t="shared" si="17"/>
        <v>Bus arrival delay reported</v>
      </c>
      <c r="N163">
        <v>5</v>
      </c>
      <c r="O163" t="s">
        <v>37</v>
      </c>
      <c r="P163">
        <f t="shared" si="18"/>
        <v>15</v>
      </c>
      <c r="Q163" t="str">
        <f t="shared" si="19"/>
        <v>Within SLA</v>
      </c>
      <c r="R163" t="str">
        <f t="shared" si="20"/>
        <v>Off163</v>
      </c>
      <c r="S163">
        <v>6</v>
      </c>
      <c r="T163">
        <v>20</v>
      </c>
      <c r="U163">
        <v>35442</v>
      </c>
      <c r="V163">
        <v>35805</v>
      </c>
      <c r="W163" t="str">
        <f t="shared" si="21"/>
        <v>No</v>
      </c>
      <c r="X163" t="str">
        <f t="shared" si="22"/>
        <v>None</v>
      </c>
      <c r="Y163" s="2">
        <f t="shared" si="23"/>
        <v>46180</v>
      </c>
    </row>
    <row r="164" spans="1:25" x14ac:dyDescent="0.25">
      <c r="A164" t="s">
        <v>348</v>
      </c>
      <c r="B164" t="s">
        <v>53</v>
      </c>
      <c r="C164" t="s">
        <v>39</v>
      </c>
      <c r="D164" t="s">
        <v>34</v>
      </c>
      <c r="E164" t="s">
        <v>42</v>
      </c>
      <c r="F164" s="1">
        <v>6</v>
      </c>
      <c r="G164" t="s">
        <v>349</v>
      </c>
      <c r="H164" t="s">
        <v>25</v>
      </c>
      <c r="I164" t="s">
        <v>65</v>
      </c>
      <c r="J164" t="s">
        <v>37</v>
      </c>
      <c r="K164" t="str">
        <f t="shared" si="16"/>
        <v>Public Transport Delay</v>
      </c>
      <c r="L164" t="s">
        <v>883</v>
      </c>
      <c r="M164" t="str">
        <f t="shared" si="17"/>
        <v>Bus arrival delay reported</v>
      </c>
      <c r="N164">
        <v>5</v>
      </c>
      <c r="O164" t="s">
        <v>37</v>
      </c>
      <c r="P164">
        <f t="shared" si="18"/>
        <v>3</v>
      </c>
      <c r="Q164" t="str">
        <f t="shared" si="19"/>
        <v>Delayed</v>
      </c>
      <c r="R164" t="str">
        <f t="shared" si="20"/>
        <v>Off164</v>
      </c>
      <c r="S164">
        <v>4</v>
      </c>
      <c r="T164">
        <v>25</v>
      </c>
      <c r="U164">
        <v>43538</v>
      </c>
      <c r="V164">
        <v>44560</v>
      </c>
      <c r="W164" t="str">
        <f t="shared" si="21"/>
        <v>Yes</v>
      </c>
      <c r="X164" t="str">
        <f t="shared" si="22"/>
        <v>Level 3</v>
      </c>
      <c r="Y164" s="2">
        <f t="shared" si="23"/>
        <v>46144</v>
      </c>
    </row>
    <row r="165" spans="1:25" x14ac:dyDescent="0.25">
      <c r="A165" t="s">
        <v>350</v>
      </c>
      <c r="B165" t="s">
        <v>11</v>
      </c>
      <c r="C165" t="s">
        <v>29</v>
      </c>
      <c r="D165" t="s">
        <v>22</v>
      </c>
      <c r="E165" t="s">
        <v>42</v>
      </c>
      <c r="F165" s="1">
        <v>4</v>
      </c>
      <c r="G165" t="s">
        <v>351</v>
      </c>
      <c r="H165" t="s">
        <v>47</v>
      </c>
      <c r="I165" t="s">
        <v>36</v>
      </c>
      <c r="J165" t="s">
        <v>37</v>
      </c>
      <c r="K165" t="str">
        <f t="shared" si="16"/>
        <v>Water Leakage</v>
      </c>
      <c r="L165" t="s">
        <v>884</v>
      </c>
      <c r="M165" t="str">
        <f t="shared" si="17"/>
        <v>Water pipe leakage near school</v>
      </c>
      <c r="N165">
        <v>3</v>
      </c>
      <c r="O165" t="s">
        <v>37</v>
      </c>
      <c r="P165">
        <f t="shared" si="18"/>
        <v>7</v>
      </c>
      <c r="Q165" t="str">
        <f t="shared" si="19"/>
        <v>Within SLA</v>
      </c>
      <c r="R165" t="str">
        <f t="shared" si="20"/>
        <v>Off165</v>
      </c>
      <c r="S165">
        <v>11</v>
      </c>
      <c r="T165">
        <v>31</v>
      </c>
      <c r="U165">
        <v>8653</v>
      </c>
      <c r="V165">
        <v>10485</v>
      </c>
      <c r="W165" t="str">
        <f t="shared" si="21"/>
        <v>No</v>
      </c>
      <c r="X165" t="str">
        <f t="shared" si="22"/>
        <v>None</v>
      </c>
      <c r="Y165" s="2">
        <f t="shared" si="23"/>
        <v>45673</v>
      </c>
    </row>
    <row r="166" spans="1:25" x14ac:dyDescent="0.25">
      <c r="A166" t="s">
        <v>352</v>
      </c>
      <c r="B166" t="s">
        <v>28</v>
      </c>
      <c r="C166" t="s">
        <v>49</v>
      </c>
      <c r="D166" t="s">
        <v>34</v>
      </c>
      <c r="E166" t="s">
        <v>30</v>
      </c>
      <c r="F166" s="1">
        <v>45</v>
      </c>
      <c r="G166" t="s">
        <v>353</v>
      </c>
      <c r="H166" t="s">
        <v>40</v>
      </c>
      <c r="I166" t="s">
        <v>36</v>
      </c>
      <c r="J166" t="s">
        <v>18</v>
      </c>
      <c r="K166" t="str">
        <f t="shared" si="16"/>
        <v>Road Damage</v>
      </c>
      <c r="L166" t="s">
        <v>885</v>
      </c>
      <c r="M166" t="str">
        <f t="shared" si="17"/>
        <v>Road damaged due to heavy rain</v>
      </c>
      <c r="N166">
        <v>1</v>
      </c>
      <c r="O166" t="s">
        <v>18</v>
      </c>
      <c r="P166">
        <f t="shared" si="18"/>
        <v>3</v>
      </c>
      <c r="Q166" t="str">
        <f t="shared" si="19"/>
        <v>Delayed</v>
      </c>
      <c r="R166" t="str">
        <f t="shared" si="20"/>
        <v>Off166</v>
      </c>
      <c r="S166">
        <v>10</v>
      </c>
      <c r="T166">
        <v>9</v>
      </c>
      <c r="U166">
        <v>11718</v>
      </c>
      <c r="V166">
        <v>11129</v>
      </c>
      <c r="W166" t="str">
        <f t="shared" si="21"/>
        <v>Yes</v>
      </c>
      <c r="X166" t="str">
        <f t="shared" si="22"/>
        <v>Level 3</v>
      </c>
      <c r="Y166" s="2">
        <f t="shared" si="23"/>
        <v>46017</v>
      </c>
    </row>
    <row r="167" spans="1:25" x14ac:dyDescent="0.25">
      <c r="A167" t="s">
        <v>354</v>
      </c>
      <c r="B167" t="s">
        <v>60</v>
      </c>
      <c r="C167" t="s">
        <v>21</v>
      </c>
      <c r="D167" t="s">
        <v>22</v>
      </c>
      <c r="E167" t="s">
        <v>14</v>
      </c>
      <c r="F167" s="1">
        <v>5</v>
      </c>
      <c r="G167" t="s">
        <v>355</v>
      </c>
      <c r="H167" t="s">
        <v>25</v>
      </c>
      <c r="I167" t="s">
        <v>44</v>
      </c>
      <c r="J167" t="s">
        <v>37</v>
      </c>
      <c r="K167" t="str">
        <f t="shared" si="16"/>
        <v>General Complaint</v>
      </c>
      <c r="L167" t="s">
        <v>881</v>
      </c>
      <c r="M167" t="str">
        <f t="shared" si="17"/>
        <v>General complaint reported</v>
      </c>
      <c r="N167">
        <v>2</v>
      </c>
      <c r="O167" t="s">
        <v>18</v>
      </c>
      <c r="P167">
        <f t="shared" si="18"/>
        <v>7</v>
      </c>
      <c r="Q167" t="str">
        <f t="shared" si="19"/>
        <v>Within SLA</v>
      </c>
      <c r="R167" t="str">
        <f t="shared" si="20"/>
        <v>Off167</v>
      </c>
      <c r="S167">
        <v>7</v>
      </c>
      <c r="T167">
        <v>23</v>
      </c>
      <c r="U167">
        <v>24390</v>
      </c>
      <c r="V167">
        <v>24254</v>
      </c>
      <c r="W167" t="str">
        <f t="shared" si="21"/>
        <v>No</v>
      </c>
      <c r="X167" t="str">
        <f t="shared" si="22"/>
        <v>None</v>
      </c>
      <c r="Y167" s="2">
        <f t="shared" si="23"/>
        <v>45751</v>
      </c>
    </row>
    <row r="168" spans="1:25" x14ac:dyDescent="0.25">
      <c r="A168" t="s">
        <v>356</v>
      </c>
      <c r="B168" t="s">
        <v>60</v>
      </c>
      <c r="C168" t="s">
        <v>61</v>
      </c>
      <c r="D168" t="s">
        <v>22</v>
      </c>
      <c r="E168" t="s">
        <v>14</v>
      </c>
      <c r="F168" s="1">
        <v>5</v>
      </c>
      <c r="G168" t="s">
        <v>357</v>
      </c>
      <c r="H168" t="s">
        <v>51</v>
      </c>
      <c r="I168" t="s">
        <v>36</v>
      </c>
      <c r="J168" t="s">
        <v>37</v>
      </c>
      <c r="K168" t="str">
        <f t="shared" si="16"/>
        <v>General Complaint</v>
      </c>
      <c r="L168" t="s">
        <v>882</v>
      </c>
      <c r="M168" t="str">
        <f t="shared" si="17"/>
        <v>General complaint reported</v>
      </c>
      <c r="N168">
        <v>4</v>
      </c>
      <c r="O168" t="s">
        <v>37</v>
      </c>
      <c r="P168">
        <f t="shared" si="18"/>
        <v>7</v>
      </c>
      <c r="Q168" t="str">
        <f t="shared" si="19"/>
        <v>Within SLA</v>
      </c>
      <c r="R168" t="str">
        <f t="shared" si="20"/>
        <v>Off168</v>
      </c>
      <c r="S168">
        <v>10</v>
      </c>
      <c r="T168">
        <v>22</v>
      </c>
      <c r="U168">
        <v>41182</v>
      </c>
      <c r="V168">
        <v>39386</v>
      </c>
      <c r="W168" t="str">
        <f t="shared" si="21"/>
        <v>No</v>
      </c>
      <c r="X168" t="str">
        <f t="shared" si="22"/>
        <v>None</v>
      </c>
      <c r="Y168" s="2">
        <f t="shared" si="23"/>
        <v>45767</v>
      </c>
    </row>
    <row r="169" spans="1:25" x14ac:dyDescent="0.25">
      <c r="A169" t="s">
        <v>358</v>
      </c>
      <c r="B169" t="s">
        <v>20</v>
      </c>
      <c r="C169" t="s">
        <v>49</v>
      </c>
      <c r="D169" t="s">
        <v>34</v>
      </c>
      <c r="E169" t="s">
        <v>23</v>
      </c>
      <c r="F169" s="1">
        <v>28</v>
      </c>
      <c r="G169" t="s">
        <v>359</v>
      </c>
      <c r="H169" t="s">
        <v>40</v>
      </c>
      <c r="I169" t="s">
        <v>17</v>
      </c>
      <c r="J169" t="s">
        <v>18</v>
      </c>
      <c r="K169" t="str">
        <f t="shared" si="16"/>
        <v>Garbage Collection</v>
      </c>
      <c r="L169" t="s">
        <v>883</v>
      </c>
      <c r="M169" t="str">
        <f t="shared" si="17"/>
        <v>Garbage not collected for 3 days</v>
      </c>
      <c r="N169">
        <v>1</v>
      </c>
      <c r="O169" t="s">
        <v>18</v>
      </c>
      <c r="P169">
        <f t="shared" si="18"/>
        <v>3</v>
      </c>
      <c r="Q169" t="str">
        <f t="shared" si="19"/>
        <v>Delayed</v>
      </c>
      <c r="R169" t="str">
        <f t="shared" si="20"/>
        <v>Off169</v>
      </c>
      <c r="S169">
        <v>11</v>
      </c>
      <c r="T169">
        <v>21</v>
      </c>
      <c r="U169">
        <v>49427</v>
      </c>
      <c r="V169">
        <v>49822</v>
      </c>
      <c r="W169" t="str">
        <f t="shared" si="21"/>
        <v>Yes</v>
      </c>
      <c r="X169" t="str">
        <f t="shared" si="22"/>
        <v>Level 3</v>
      </c>
      <c r="Y169" s="2">
        <f t="shared" si="23"/>
        <v>45824</v>
      </c>
    </row>
    <row r="170" spans="1:25" x14ac:dyDescent="0.25">
      <c r="A170" t="s">
        <v>360</v>
      </c>
      <c r="B170" t="s">
        <v>28</v>
      </c>
      <c r="C170" t="s">
        <v>21</v>
      </c>
      <c r="D170" t="s">
        <v>13</v>
      </c>
      <c r="E170" t="s">
        <v>23</v>
      </c>
      <c r="F170" s="1">
        <v>11</v>
      </c>
      <c r="G170" t="s">
        <v>213</v>
      </c>
      <c r="H170" t="s">
        <v>47</v>
      </c>
      <c r="I170" t="s">
        <v>36</v>
      </c>
      <c r="J170" t="s">
        <v>18</v>
      </c>
      <c r="K170" t="str">
        <f t="shared" si="16"/>
        <v>Road Damage</v>
      </c>
      <c r="L170" t="s">
        <v>884</v>
      </c>
      <c r="M170" t="str">
        <f t="shared" si="17"/>
        <v>Road damaged due to heavy rain</v>
      </c>
      <c r="N170">
        <v>4</v>
      </c>
      <c r="O170" t="s">
        <v>37</v>
      </c>
      <c r="P170">
        <f t="shared" si="18"/>
        <v>15</v>
      </c>
      <c r="Q170" t="str">
        <f t="shared" si="19"/>
        <v>Within SLA</v>
      </c>
      <c r="R170" t="str">
        <f t="shared" si="20"/>
        <v>Off170</v>
      </c>
      <c r="S170">
        <v>6</v>
      </c>
      <c r="T170">
        <v>25</v>
      </c>
      <c r="U170">
        <v>15672</v>
      </c>
      <c r="V170">
        <v>14879</v>
      </c>
      <c r="W170" t="str">
        <f t="shared" si="21"/>
        <v>No</v>
      </c>
      <c r="X170" t="str">
        <f t="shared" si="22"/>
        <v>None</v>
      </c>
      <c r="Y170" s="2">
        <f t="shared" si="23"/>
        <v>46090</v>
      </c>
    </row>
    <row r="171" spans="1:25" x14ac:dyDescent="0.25">
      <c r="A171" t="s">
        <v>361</v>
      </c>
      <c r="B171" t="s">
        <v>28</v>
      </c>
      <c r="C171" t="s">
        <v>49</v>
      </c>
      <c r="D171" t="s">
        <v>22</v>
      </c>
      <c r="E171" t="s">
        <v>14</v>
      </c>
      <c r="F171" s="1">
        <v>33</v>
      </c>
      <c r="G171" t="s">
        <v>362</v>
      </c>
      <c r="H171" t="s">
        <v>51</v>
      </c>
      <c r="I171" t="s">
        <v>36</v>
      </c>
      <c r="J171" t="s">
        <v>18</v>
      </c>
      <c r="K171" t="str">
        <f t="shared" si="16"/>
        <v>Road Damage</v>
      </c>
      <c r="L171" t="s">
        <v>885</v>
      </c>
      <c r="M171" t="str">
        <f t="shared" si="17"/>
        <v>Road damaged due to heavy rain</v>
      </c>
      <c r="N171">
        <v>5</v>
      </c>
      <c r="O171" t="s">
        <v>37</v>
      </c>
      <c r="P171">
        <f t="shared" si="18"/>
        <v>7</v>
      </c>
      <c r="Q171" t="str">
        <f t="shared" si="19"/>
        <v>Delayed</v>
      </c>
      <c r="R171" t="str">
        <f t="shared" si="20"/>
        <v>Off171</v>
      </c>
      <c r="S171">
        <v>7</v>
      </c>
      <c r="T171">
        <v>6</v>
      </c>
      <c r="U171">
        <v>20972</v>
      </c>
      <c r="V171">
        <v>21951</v>
      </c>
      <c r="W171" t="str">
        <f t="shared" si="21"/>
        <v>Yes</v>
      </c>
      <c r="X171" t="str">
        <f t="shared" si="22"/>
        <v>Level 2</v>
      </c>
      <c r="Y171" s="2">
        <f t="shared" si="23"/>
        <v>46052</v>
      </c>
    </row>
    <row r="172" spans="1:25" x14ac:dyDescent="0.25">
      <c r="A172" t="s">
        <v>363</v>
      </c>
      <c r="B172" t="s">
        <v>28</v>
      </c>
      <c r="C172" t="s">
        <v>56</v>
      </c>
      <c r="D172" t="s">
        <v>34</v>
      </c>
      <c r="E172" t="s">
        <v>23</v>
      </c>
      <c r="F172" s="1">
        <v>1</v>
      </c>
      <c r="G172" t="s">
        <v>364</v>
      </c>
      <c r="H172" t="s">
        <v>47</v>
      </c>
      <c r="I172" t="s">
        <v>36</v>
      </c>
      <c r="J172" t="s">
        <v>37</v>
      </c>
      <c r="K172" t="str">
        <f t="shared" si="16"/>
        <v>Road Damage</v>
      </c>
      <c r="L172" t="s">
        <v>881</v>
      </c>
      <c r="M172" t="str">
        <f t="shared" si="17"/>
        <v>Road damaged due to heavy rain</v>
      </c>
      <c r="N172">
        <v>3</v>
      </c>
      <c r="O172" t="s">
        <v>37</v>
      </c>
      <c r="P172">
        <f t="shared" si="18"/>
        <v>3</v>
      </c>
      <c r="Q172" t="str">
        <f t="shared" si="19"/>
        <v>Within SLA</v>
      </c>
      <c r="R172" t="str">
        <f t="shared" si="20"/>
        <v>Off172</v>
      </c>
      <c r="S172">
        <v>7</v>
      </c>
      <c r="T172">
        <v>19</v>
      </c>
      <c r="U172">
        <v>42684</v>
      </c>
      <c r="V172">
        <v>43983</v>
      </c>
      <c r="W172" t="str">
        <f t="shared" si="21"/>
        <v>No</v>
      </c>
      <c r="X172" t="str">
        <f t="shared" si="22"/>
        <v>None</v>
      </c>
      <c r="Y172" s="2">
        <f t="shared" si="23"/>
        <v>45911</v>
      </c>
    </row>
    <row r="173" spans="1:25" x14ac:dyDescent="0.25">
      <c r="A173" t="s">
        <v>365</v>
      </c>
      <c r="B173" t="s">
        <v>20</v>
      </c>
      <c r="C173" t="s">
        <v>76</v>
      </c>
      <c r="D173" t="s">
        <v>13</v>
      </c>
      <c r="E173" t="s">
        <v>42</v>
      </c>
      <c r="F173" s="1">
        <v>29</v>
      </c>
      <c r="G173" t="s">
        <v>366</v>
      </c>
      <c r="H173" t="s">
        <v>40</v>
      </c>
      <c r="I173" t="s">
        <v>26</v>
      </c>
      <c r="J173" t="s">
        <v>18</v>
      </c>
      <c r="K173" t="str">
        <f t="shared" si="16"/>
        <v>Garbage Collection</v>
      </c>
      <c r="L173" t="s">
        <v>882</v>
      </c>
      <c r="M173" t="str">
        <f t="shared" si="17"/>
        <v>Garbage not collected for 3 days</v>
      </c>
      <c r="N173">
        <v>3</v>
      </c>
      <c r="O173" t="s">
        <v>37</v>
      </c>
      <c r="P173">
        <f t="shared" si="18"/>
        <v>15</v>
      </c>
      <c r="Q173" t="str">
        <f t="shared" si="19"/>
        <v>Delayed</v>
      </c>
      <c r="R173" t="str">
        <f t="shared" si="20"/>
        <v>Off173</v>
      </c>
      <c r="S173">
        <v>1</v>
      </c>
      <c r="T173">
        <v>47</v>
      </c>
      <c r="U173">
        <v>37552</v>
      </c>
      <c r="V173">
        <v>38594</v>
      </c>
      <c r="W173" t="str">
        <f t="shared" si="21"/>
        <v>Yes</v>
      </c>
      <c r="X173" t="str">
        <f t="shared" si="22"/>
        <v>Level 1</v>
      </c>
      <c r="Y173" s="2">
        <f t="shared" si="23"/>
        <v>45952</v>
      </c>
    </row>
    <row r="174" spans="1:25" x14ac:dyDescent="0.25">
      <c r="A174" t="s">
        <v>367</v>
      </c>
      <c r="B174" t="s">
        <v>20</v>
      </c>
      <c r="C174" t="s">
        <v>29</v>
      </c>
      <c r="D174" t="s">
        <v>34</v>
      </c>
      <c r="E174" t="s">
        <v>23</v>
      </c>
      <c r="F174" s="1">
        <v>20</v>
      </c>
      <c r="G174" t="s">
        <v>355</v>
      </c>
      <c r="H174" t="s">
        <v>51</v>
      </c>
      <c r="I174" t="s">
        <v>36</v>
      </c>
      <c r="J174" t="s">
        <v>18</v>
      </c>
      <c r="K174" t="str">
        <f t="shared" si="16"/>
        <v>Garbage Collection</v>
      </c>
      <c r="L174" t="s">
        <v>883</v>
      </c>
      <c r="M174" t="str">
        <f t="shared" si="17"/>
        <v>Garbage not collected for 3 days</v>
      </c>
      <c r="N174">
        <v>1</v>
      </c>
      <c r="O174" t="s">
        <v>18</v>
      </c>
      <c r="P174">
        <f t="shared" si="18"/>
        <v>3</v>
      </c>
      <c r="Q174" t="str">
        <f t="shared" si="19"/>
        <v>Delayed</v>
      </c>
      <c r="R174" t="str">
        <f t="shared" si="20"/>
        <v>Off174</v>
      </c>
      <c r="S174">
        <v>11</v>
      </c>
      <c r="T174">
        <v>33</v>
      </c>
      <c r="U174">
        <v>40059</v>
      </c>
      <c r="V174">
        <v>41977</v>
      </c>
      <c r="W174" t="str">
        <f t="shared" si="21"/>
        <v>Yes</v>
      </c>
      <c r="X174" t="str">
        <f t="shared" si="22"/>
        <v>Level 3</v>
      </c>
      <c r="Y174" s="2">
        <f t="shared" si="23"/>
        <v>45766</v>
      </c>
    </row>
    <row r="175" spans="1:25" x14ac:dyDescent="0.25">
      <c r="A175" t="s">
        <v>368</v>
      </c>
      <c r="B175" t="s">
        <v>53</v>
      </c>
      <c r="C175" t="s">
        <v>21</v>
      </c>
      <c r="D175" t="s">
        <v>13</v>
      </c>
      <c r="E175" t="s">
        <v>23</v>
      </c>
      <c r="F175" s="1">
        <v>4</v>
      </c>
      <c r="G175" t="s">
        <v>369</v>
      </c>
      <c r="H175" t="s">
        <v>25</v>
      </c>
      <c r="I175" t="s">
        <v>26</v>
      </c>
      <c r="J175" t="s">
        <v>37</v>
      </c>
      <c r="K175" t="str">
        <f t="shared" si="16"/>
        <v>Public Transport Delay</v>
      </c>
      <c r="L175" t="s">
        <v>884</v>
      </c>
      <c r="M175" t="str">
        <f t="shared" si="17"/>
        <v>Bus arrival delay reported</v>
      </c>
      <c r="N175">
        <v>2</v>
      </c>
      <c r="O175" t="s">
        <v>18</v>
      </c>
      <c r="P175">
        <f t="shared" si="18"/>
        <v>15</v>
      </c>
      <c r="Q175" t="str">
        <f t="shared" si="19"/>
        <v>Within SLA</v>
      </c>
      <c r="R175" t="str">
        <f t="shared" si="20"/>
        <v>Off175</v>
      </c>
      <c r="S175">
        <v>1</v>
      </c>
      <c r="T175">
        <v>38</v>
      </c>
      <c r="U175">
        <v>3246</v>
      </c>
      <c r="V175">
        <v>2434</v>
      </c>
      <c r="W175" t="str">
        <f t="shared" si="21"/>
        <v>No</v>
      </c>
      <c r="X175" t="str">
        <f t="shared" si="22"/>
        <v>None</v>
      </c>
      <c r="Y175" s="2">
        <f t="shared" si="23"/>
        <v>46138</v>
      </c>
    </row>
    <row r="176" spans="1:25" x14ac:dyDescent="0.25">
      <c r="A176" t="s">
        <v>370</v>
      </c>
      <c r="B176" t="s">
        <v>11</v>
      </c>
      <c r="C176" t="s">
        <v>76</v>
      </c>
      <c r="D176" t="s">
        <v>13</v>
      </c>
      <c r="E176" t="s">
        <v>23</v>
      </c>
      <c r="F176" s="1">
        <v>28</v>
      </c>
      <c r="G176" t="s">
        <v>91</v>
      </c>
      <c r="H176" t="s">
        <v>25</v>
      </c>
      <c r="I176" t="s">
        <v>36</v>
      </c>
      <c r="J176" t="s">
        <v>18</v>
      </c>
      <c r="K176" t="str">
        <f t="shared" si="16"/>
        <v>Water Leakage</v>
      </c>
      <c r="L176" t="s">
        <v>885</v>
      </c>
      <c r="M176" t="str">
        <f t="shared" si="17"/>
        <v>Water pipe leakage near school</v>
      </c>
      <c r="N176">
        <v>5</v>
      </c>
      <c r="O176" t="s">
        <v>37</v>
      </c>
      <c r="P176">
        <f t="shared" si="18"/>
        <v>15</v>
      </c>
      <c r="Q176" t="str">
        <f t="shared" si="19"/>
        <v>Delayed</v>
      </c>
      <c r="R176" t="str">
        <f t="shared" si="20"/>
        <v>Off176</v>
      </c>
      <c r="S176">
        <v>13</v>
      </c>
      <c r="T176">
        <v>10</v>
      </c>
      <c r="U176">
        <v>32871</v>
      </c>
      <c r="V176">
        <v>32953</v>
      </c>
      <c r="W176" t="str">
        <f t="shared" si="21"/>
        <v>Yes</v>
      </c>
      <c r="X176" t="str">
        <f t="shared" si="22"/>
        <v>Level 1</v>
      </c>
      <c r="Y176" s="2">
        <f t="shared" si="23"/>
        <v>45854</v>
      </c>
    </row>
    <row r="177" spans="1:25" x14ac:dyDescent="0.25">
      <c r="A177" t="s">
        <v>371</v>
      </c>
      <c r="B177" t="s">
        <v>11</v>
      </c>
      <c r="C177" t="s">
        <v>29</v>
      </c>
      <c r="D177" t="s">
        <v>34</v>
      </c>
      <c r="E177" t="s">
        <v>23</v>
      </c>
      <c r="F177" s="1">
        <v>3</v>
      </c>
      <c r="G177" t="s">
        <v>372</v>
      </c>
      <c r="H177" t="s">
        <v>40</v>
      </c>
      <c r="I177" t="s">
        <v>44</v>
      </c>
      <c r="J177" t="s">
        <v>37</v>
      </c>
      <c r="K177" t="str">
        <f t="shared" si="16"/>
        <v>Water Leakage</v>
      </c>
      <c r="L177" t="s">
        <v>881</v>
      </c>
      <c r="M177" t="str">
        <f t="shared" si="17"/>
        <v>Water pipe leakage near school</v>
      </c>
      <c r="N177">
        <v>3</v>
      </c>
      <c r="O177" t="s">
        <v>37</v>
      </c>
      <c r="P177">
        <f t="shared" si="18"/>
        <v>3</v>
      </c>
      <c r="Q177" t="str">
        <f t="shared" si="19"/>
        <v>Within SLA</v>
      </c>
      <c r="R177" t="str">
        <f t="shared" si="20"/>
        <v>Off177</v>
      </c>
      <c r="S177">
        <v>2</v>
      </c>
      <c r="T177">
        <v>49</v>
      </c>
      <c r="U177">
        <v>48405</v>
      </c>
      <c r="V177">
        <v>48361</v>
      </c>
      <c r="W177" t="str">
        <f t="shared" si="21"/>
        <v>No</v>
      </c>
      <c r="X177" t="str">
        <f t="shared" si="22"/>
        <v>None</v>
      </c>
      <c r="Y177" s="2">
        <f t="shared" si="23"/>
        <v>45949</v>
      </c>
    </row>
    <row r="178" spans="1:25" x14ac:dyDescent="0.25">
      <c r="A178" t="s">
        <v>373</v>
      </c>
      <c r="B178" t="s">
        <v>60</v>
      </c>
      <c r="C178" t="s">
        <v>76</v>
      </c>
      <c r="D178" t="s">
        <v>22</v>
      </c>
      <c r="E178" t="s">
        <v>30</v>
      </c>
      <c r="F178" s="1">
        <v>2</v>
      </c>
      <c r="G178" t="s">
        <v>374</v>
      </c>
      <c r="H178" t="s">
        <v>16</v>
      </c>
      <c r="I178" t="s">
        <v>36</v>
      </c>
      <c r="J178" t="s">
        <v>37</v>
      </c>
      <c r="K178" t="str">
        <f t="shared" si="16"/>
        <v>General Complaint</v>
      </c>
      <c r="L178" t="s">
        <v>882</v>
      </c>
      <c r="M178" t="str">
        <f t="shared" si="17"/>
        <v>General complaint reported</v>
      </c>
      <c r="N178">
        <v>1</v>
      </c>
      <c r="O178" t="s">
        <v>18</v>
      </c>
      <c r="P178">
        <f t="shared" si="18"/>
        <v>7</v>
      </c>
      <c r="Q178" t="str">
        <f t="shared" si="19"/>
        <v>Within SLA</v>
      </c>
      <c r="R178" t="str">
        <f t="shared" si="20"/>
        <v>Off178</v>
      </c>
      <c r="S178">
        <v>2</v>
      </c>
      <c r="T178">
        <v>45</v>
      </c>
      <c r="U178">
        <v>24591</v>
      </c>
      <c r="V178">
        <v>23204</v>
      </c>
      <c r="W178" t="str">
        <f t="shared" si="21"/>
        <v>No</v>
      </c>
      <c r="X178" t="str">
        <f t="shared" si="22"/>
        <v>None</v>
      </c>
      <c r="Y178" s="2">
        <f t="shared" si="23"/>
        <v>45950</v>
      </c>
    </row>
    <row r="179" spans="1:25" x14ac:dyDescent="0.25">
      <c r="A179" t="s">
        <v>375</v>
      </c>
      <c r="B179" t="s">
        <v>69</v>
      </c>
      <c r="C179" t="s">
        <v>39</v>
      </c>
      <c r="D179" t="s">
        <v>13</v>
      </c>
      <c r="E179" t="s">
        <v>14</v>
      </c>
      <c r="F179" s="1">
        <v>42</v>
      </c>
      <c r="G179" t="s">
        <v>376</v>
      </c>
      <c r="H179" t="s">
        <v>40</v>
      </c>
      <c r="I179" t="s">
        <v>26</v>
      </c>
      <c r="J179" t="s">
        <v>18</v>
      </c>
      <c r="K179" t="str">
        <f t="shared" si="16"/>
        <v>General Complaint</v>
      </c>
      <c r="L179" t="s">
        <v>883</v>
      </c>
      <c r="M179" t="str">
        <f t="shared" si="17"/>
        <v>General complaint reported</v>
      </c>
      <c r="N179">
        <v>3</v>
      </c>
      <c r="O179" t="s">
        <v>37</v>
      </c>
      <c r="P179">
        <f t="shared" si="18"/>
        <v>15</v>
      </c>
      <c r="Q179" t="str">
        <f t="shared" si="19"/>
        <v>Delayed</v>
      </c>
      <c r="R179" t="str">
        <f t="shared" si="20"/>
        <v>Off179</v>
      </c>
      <c r="S179">
        <v>9</v>
      </c>
      <c r="T179">
        <v>34</v>
      </c>
      <c r="U179">
        <v>41190</v>
      </c>
      <c r="V179">
        <v>41888</v>
      </c>
      <c r="W179" t="str">
        <f t="shared" si="21"/>
        <v>Yes</v>
      </c>
      <c r="X179" t="str">
        <f t="shared" si="22"/>
        <v>Level 1</v>
      </c>
      <c r="Y179" s="2">
        <f t="shared" si="23"/>
        <v>46077</v>
      </c>
    </row>
    <row r="180" spans="1:25" x14ac:dyDescent="0.25">
      <c r="A180" t="s">
        <v>377</v>
      </c>
      <c r="B180" t="s">
        <v>28</v>
      </c>
      <c r="C180" t="s">
        <v>39</v>
      </c>
      <c r="D180" t="s">
        <v>13</v>
      </c>
      <c r="E180" t="s">
        <v>30</v>
      </c>
      <c r="F180" s="1">
        <v>22</v>
      </c>
      <c r="G180" t="s">
        <v>378</v>
      </c>
      <c r="H180" t="s">
        <v>47</v>
      </c>
      <c r="I180" t="s">
        <v>44</v>
      </c>
      <c r="J180" t="s">
        <v>18</v>
      </c>
      <c r="K180" t="str">
        <f t="shared" si="16"/>
        <v>Road Damage</v>
      </c>
      <c r="L180" t="s">
        <v>884</v>
      </c>
      <c r="M180" t="str">
        <f t="shared" si="17"/>
        <v>Road damaged due to heavy rain</v>
      </c>
      <c r="N180">
        <v>1</v>
      </c>
      <c r="O180" t="s">
        <v>18</v>
      </c>
      <c r="P180">
        <f t="shared" si="18"/>
        <v>15</v>
      </c>
      <c r="Q180" t="str">
        <f t="shared" si="19"/>
        <v>Delayed</v>
      </c>
      <c r="R180" t="str">
        <f t="shared" si="20"/>
        <v>Off180</v>
      </c>
      <c r="S180">
        <v>5</v>
      </c>
      <c r="T180">
        <v>39</v>
      </c>
      <c r="U180">
        <v>6624</v>
      </c>
      <c r="V180">
        <v>8284</v>
      </c>
      <c r="W180" t="str">
        <f t="shared" si="21"/>
        <v>Yes</v>
      </c>
      <c r="X180" t="str">
        <f t="shared" si="22"/>
        <v>Level 1</v>
      </c>
      <c r="Y180" s="2">
        <f t="shared" si="23"/>
        <v>46212</v>
      </c>
    </row>
    <row r="181" spans="1:25" x14ac:dyDescent="0.25">
      <c r="A181" t="s">
        <v>379</v>
      </c>
      <c r="B181" t="s">
        <v>60</v>
      </c>
      <c r="C181" t="s">
        <v>61</v>
      </c>
      <c r="D181" t="s">
        <v>22</v>
      </c>
      <c r="E181" t="s">
        <v>14</v>
      </c>
      <c r="F181" s="1">
        <v>11</v>
      </c>
      <c r="G181" t="s">
        <v>380</v>
      </c>
      <c r="H181" t="s">
        <v>51</v>
      </c>
      <c r="I181" t="s">
        <v>65</v>
      </c>
      <c r="J181" t="s">
        <v>18</v>
      </c>
      <c r="K181" t="str">
        <f t="shared" si="16"/>
        <v>General Complaint</v>
      </c>
      <c r="L181" t="s">
        <v>885</v>
      </c>
      <c r="M181" t="str">
        <f t="shared" si="17"/>
        <v>General complaint reported</v>
      </c>
      <c r="N181">
        <v>2</v>
      </c>
      <c r="O181" t="s">
        <v>18</v>
      </c>
      <c r="P181">
        <f t="shared" si="18"/>
        <v>7</v>
      </c>
      <c r="Q181" t="str">
        <f t="shared" si="19"/>
        <v>Delayed</v>
      </c>
      <c r="R181" t="str">
        <f t="shared" si="20"/>
        <v>Off181</v>
      </c>
      <c r="S181">
        <v>1</v>
      </c>
      <c r="T181">
        <v>48</v>
      </c>
      <c r="U181">
        <v>45749</v>
      </c>
      <c r="V181">
        <v>44641</v>
      </c>
      <c r="W181" t="str">
        <f t="shared" si="21"/>
        <v>Yes</v>
      </c>
      <c r="X181" t="str">
        <f t="shared" si="22"/>
        <v>Level 2</v>
      </c>
      <c r="Y181" s="2">
        <f t="shared" si="23"/>
        <v>45752</v>
      </c>
    </row>
    <row r="182" spans="1:25" x14ac:dyDescent="0.25">
      <c r="A182" t="s">
        <v>381</v>
      </c>
      <c r="B182" t="s">
        <v>69</v>
      </c>
      <c r="C182" t="s">
        <v>84</v>
      </c>
      <c r="D182" t="s">
        <v>13</v>
      </c>
      <c r="E182" t="s">
        <v>42</v>
      </c>
      <c r="F182" s="1">
        <v>8</v>
      </c>
      <c r="G182" t="s">
        <v>321</v>
      </c>
      <c r="H182" t="s">
        <v>58</v>
      </c>
      <c r="I182" t="s">
        <v>26</v>
      </c>
      <c r="J182" t="s">
        <v>18</v>
      </c>
      <c r="K182" t="str">
        <f t="shared" si="16"/>
        <v>General Complaint</v>
      </c>
      <c r="L182" t="s">
        <v>881</v>
      </c>
      <c r="M182" t="str">
        <f t="shared" si="17"/>
        <v>General complaint reported</v>
      </c>
      <c r="N182">
        <v>3</v>
      </c>
      <c r="O182" t="s">
        <v>37</v>
      </c>
      <c r="P182">
        <f t="shared" si="18"/>
        <v>15</v>
      </c>
      <c r="Q182" t="str">
        <f t="shared" si="19"/>
        <v>Within SLA</v>
      </c>
      <c r="R182" t="str">
        <f t="shared" si="20"/>
        <v>Off182</v>
      </c>
      <c r="S182">
        <v>15</v>
      </c>
      <c r="T182">
        <v>27</v>
      </c>
      <c r="U182">
        <v>7779</v>
      </c>
      <c r="V182">
        <v>7563</v>
      </c>
      <c r="W182" t="str">
        <f t="shared" si="21"/>
        <v>No</v>
      </c>
      <c r="X182" t="str">
        <f t="shared" si="22"/>
        <v>None</v>
      </c>
      <c r="Y182" s="2">
        <f t="shared" si="23"/>
        <v>45790</v>
      </c>
    </row>
    <row r="183" spans="1:25" x14ac:dyDescent="0.25">
      <c r="A183" t="s">
        <v>382</v>
      </c>
      <c r="B183" t="s">
        <v>53</v>
      </c>
      <c r="C183" t="s">
        <v>39</v>
      </c>
      <c r="D183" t="s">
        <v>13</v>
      </c>
      <c r="E183" t="s">
        <v>23</v>
      </c>
      <c r="F183" s="1">
        <v>3</v>
      </c>
      <c r="G183" t="s">
        <v>383</v>
      </c>
      <c r="H183" t="s">
        <v>25</v>
      </c>
      <c r="I183" t="s">
        <v>65</v>
      </c>
      <c r="J183" t="s">
        <v>37</v>
      </c>
      <c r="K183" t="str">
        <f t="shared" si="16"/>
        <v>Public Transport Delay</v>
      </c>
      <c r="L183" t="s">
        <v>882</v>
      </c>
      <c r="M183" t="str">
        <f t="shared" si="17"/>
        <v>Bus arrival delay reported</v>
      </c>
      <c r="N183">
        <v>1</v>
      </c>
      <c r="O183" t="s">
        <v>18</v>
      </c>
      <c r="P183">
        <f t="shared" si="18"/>
        <v>15</v>
      </c>
      <c r="Q183" t="str">
        <f t="shared" si="19"/>
        <v>Within SLA</v>
      </c>
      <c r="R183" t="str">
        <f t="shared" si="20"/>
        <v>Off183</v>
      </c>
      <c r="S183">
        <v>11</v>
      </c>
      <c r="T183">
        <v>35</v>
      </c>
      <c r="U183">
        <v>30768</v>
      </c>
      <c r="V183">
        <v>32575</v>
      </c>
      <c r="W183" t="str">
        <f t="shared" si="21"/>
        <v>No</v>
      </c>
      <c r="X183" t="str">
        <f t="shared" si="22"/>
        <v>None</v>
      </c>
      <c r="Y183" s="2">
        <f t="shared" si="23"/>
        <v>45997</v>
      </c>
    </row>
    <row r="184" spans="1:25" x14ac:dyDescent="0.25">
      <c r="A184" t="s">
        <v>384</v>
      </c>
      <c r="B184" t="s">
        <v>69</v>
      </c>
      <c r="C184" t="s">
        <v>76</v>
      </c>
      <c r="D184" t="s">
        <v>34</v>
      </c>
      <c r="E184" t="s">
        <v>23</v>
      </c>
      <c r="F184" s="1">
        <v>10</v>
      </c>
      <c r="G184" t="s">
        <v>385</v>
      </c>
      <c r="H184" t="s">
        <v>47</v>
      </c>
      <c r="I184" t="s">
        <v>44</v>
      </c>
      <c r="J184" t="s">
        <v>18</v>
      </c>
      <c r="K184" t="str">
        <f t="shared" si="16"/>
        <v>General Complaint</v>
      </c>
      <c r="L184" t="s">
        <v>883</v>
      </c>
      <c r="M184" t="str">
        <f t="shared" si="17"/>
        <v>General complaint reported</v>
      </c>
      <c r="N184">
        <v>3</v>
      </c>
      <c r="O184" t="s">
        <v>37</v>
      </c>
      <c r="P184">
        <f t="shared" si="18"/>
        <v>3</v>
      </c>
      <c r="Q184" t="str">
        <f t="shared" si="19"/>
        <v>Delayed</v>
      </c>
      <c r="R184" t="str">
        <f t="shared" si="20"/>
        <v>Off184</v>
      </c>
      <c r="S184">
        <v>14</v>
      </c>
      <c r="T184">
        <v>13</v>
      </c>
      <c r="U184">
        <v>28427</v>
      </c>
      <c r="V184">
        <v>28816</v>
      </c>
      <c r="W184" t="str">
        <f t="shared" si="21"/>
        <v>Yes</v>
      </c>
      <c r="X184" t="str">
        <f t="shared" si="22"/>
        <v>Level 3</v>
      </c>
      <c r="Y184" s="2">
        <f t="shared" si="23"/>
        <v>46072</v>
      </c>
    </row>
    <row r="185" spans="1:25" x14ac:dyDescent="0.25">
      <c r="A185" t="s">
        <v>386</v>
      </c>
      <c r="B185" t="s">
        <v>20</v>
      </c>
      <c r="C185" t="s">
        <v>49</v>
      </c>
      <c r="D185" t="s">
        <v>22</v>
      </c>
      <c r="E185" t="s">
        <v>42</v>
      </c>
      <c r="F185" s="1">
        <v>4</v>
      </c>
      <c r="G185" t="s">
        <v>387</v>
      </c>
      <c r="H185" t="s">
        <v>51</v>
      </c>
      <c r="I185" t="s">
        <v>26</v>
      </c>
      <c r="J185" t="s">
        <v>37</v>
      </c>
      <c r="K185" t="str">
        <f t="shared" si="16"/>
        <v>Garbage Collection</v>
      </c>
      <c r="L185" t="s">
        <v>884</v>
      </c>
      <c r="M185" t="str">
        <f t="shared" si="17"/>
        <v>Garbage not collected for 3 days</v>
      </c>
      <c r="N185">
        <v>4</v>
      </c>
      <c r="O185" t="s">
        <v>37</v>
      </c>
      <c r="P185">
        <f t="shared" si="18"/>
        <v>7</v>
      </c>
      <c r="Q185" t="str">
        <f t="shared" si="19"/>
        <v>Within SLA</v>
      </c>
      <c r="R185" t="str">
        <f t="shared" si="20"/>
        <v>Off185</v>
      </c>
      <c r="S185">
        <v>13</v>
      </c>
      <c r="T185">
        <v>10</v>
      </c>
      <c r="U185">
        <v>34554</v>
      </c>
      <c r="V185">
        <v>32628</v>
      </c>
      <c r="W185" t="str">
        <f t="shared" si="21"/>
        <v>No</v>
      </c>
      <c r="X185" t="str">
        <f t="shared" si="22"/>
        <v>None</v>
      </c>
      <c r="Y185" s="2">
        <f t="shared" si="23"/>
        <v>45821</v>
      </c>
    </row>
    <row r="186" spans="1:25" x14ac:dyDescent="0.25">
      <c r="A186" t="s">
        <v>388</v>
      </c>
      <c r="B186" t="s">
        <v>11</v>
      </c>
      <c r="C186" t="s">
        <v>33</v>
      </c>
      <c r="D186" t="s">
        <v>22</v>
      </c>
      <c r="E186" t="s">
        <v>14</v>
      </c>
      <c r="F186" s="1">
        <v>8</v>
      </c>
      <c r="G186" t="s">
        <v>389</v>
      </c>
      <c r="H186" t="s">
        <v>51</v>
      </c>
      <c r="I186" t="s">
        <v>36</v>
      </c>
      <c r="J186" t="s">
        <v>18</v>
      </c>
      <c r="K186" t="str">
        <f t="shared" si="16"/>
        <v>Water Leakage</v>
      </c>
      <c r="L186" t="s">
        <v>885</v>
      </c>
      <c r="M186" t="str">
        <f t="shared" si="17"/>
        <v>Water pipe leakage near school</v>
      </c>
      <c r="N186">
        <v>4</v>
      </c>
      <c r="O186" t="s">
        <v>37</v>
      </c>
      <c r="P186">
        <f t="shared" si="18"/>
        <v>7</v>
      </c>
      <c r="Q186" t="str">
        <f t="shared" si="19"/>
        <v>Delayed</v>
      </c>
      <c r="R186" t="str">
        <f t="shared" si="20"/>
        <v>Off186</v>
      </c>
      <c r="S186">
        <v>13</v>
      </c>
      <c r="T186">
        <v>46</v>
      </c>
      <c r="U186">
        <v>2163</v>
      </c>
      <c r="V186">
        <v>3166</v>
      </c>
      <c r="W186" t="str">
        <f t="shared" si="21"/>
        <v>Yes</v>
      </c>
      <c r="X186" t="str">
        <f t="shared" si="22"/>
        <v>Level 2</v>
      </c>
      <c r="Y186" s="2">
        <f t="shared" si="23"/>
        <v>45969</v>
      </c>
    </row>
    <row r="187" spans="1:25" x14ac:dyDescent="0.25">
      <c r="A187" t="s">
        <v>390</v>
      </c>
      <c r="B187" t="s">
        <v>11</v>
      </c>
      <c r="C187" t="s">
        <v>84</v>
      </c>
      <c r="D187" t="s">
        <v>22</v>
      </c>
      <c r="E187" t="s">
        <v>23</v>
      </c>
      <c r="F187" s="1">
        <v>28</v>
      </c>
      <c r="G187" t="s">
        <v>391</v>
      </c>
      <c r="H187" t="s">
        <v>16</v>
      </c>
      <c r="I187" t="s">
        <v>36</v>
      </c>
      <c r="J187" t="s">
        <v>18</v>
      </c>
      <c r="K187" t="str">
        <f t="shared" si="16"/>
        <v>Water Leakage</v>
      </c>
      <c r="L187" t="s">
        <v>881</v>
      </c>
      <c r="M187" t="str">
        <f t="shared" si="17"/>
        <v>Water pipe leakage near school</v>
      </c>
      <c r="N187">
        <v>4</v>
      </c>
      <c r="O187" t="s">
        <v>37</v>
      </c>
      <c r="P187">
        <f t="shared" si="18"/>
        <v>7</v>
      </c>
      <c r="Q187" t="str">
        <f t="shared" si="19"/>
        <v>Delayed</v>
      </c>
      <c r="R187" t="str">
        <f t="shared" si="20"/>
        <v>Off187</v>
      </c>
      <c r="S187">
        <v>8</v>
      </c>
      <c r="T187">
        <v>44</v>
      </c>
      <c r="U187">
        <v>13185</v>
      </c>
      <c r="V187">
        <v>14756</v>
      </c>
      <c r="W187" t="str">
        <f t="shared" si="21"/>
        <v>Yes</v>
      </c>
      <c r="X187" t="str">
        <f t="shared" si="22"/>
        <v>Level 2</v>
      </c>
      <c r="Y187" s="2">
        <f t="shared" si="23"/>
        <v>45946</v>
      </c>
    </row>
    <row r="188" spans="1:25" x14ac:dyDescent="0.25">
      <c r="A188" t="s">
        <v>392</v>
      </c>
      <c r="B188" t="s">
        <v>69</v>
      </c>
      <c r="C188" t="s">
        <v>84</v>
      </c>
      <c r="D188" t="s">
        <v>13</v>
      </c>
      <c r="E188" t="s">
        <v>42</v>
      </c>
      <c r="F188" s="1">
        <v>16</v>
      </c>
      <c r="G188" t="s">
        <v>393</v>
      </c>
      <c r="H188" t="s">
        <v>40</v>
      </c>
      <c r="I188" t="s">
        <v>17</v>
      </c>
      <c r="J188" t="s">
        <v>18</v>
      </c>
      <c r="K188" t="str">
        <f t="shared" si="16"/>
        <v>General Complaint</v>
      </c>
      <c r="L188" t="s">
        <v>882</v>
      </c>
      <c r="M188" t="str">
        <f t="shared" si="17"/>
        <v>General complaint reported</v>
      </c>
      <c r="N188">
        <v>2</v>
      </c>
      <c r="O188" t="s">
        <v>18</v>
      </c>
      <c r="P188">
        <f t="shared" si="18"/>
        <v>15</v>
      </c>
      <c r="Q188" t="str">
        <f t="shared" si="19"/>
        <v>Delayed</v>
      </c>
      <c r="R188" t="str">
        <f t="shared" si="20"/>
        <v>Off188</v>
      </c>
      <c r="S188">
        <v>9</v>
      </c>
      <c r="T188">
        <v>20</v>
      </c>
      <c r="U188">
        <v>27433</v>
      </c>
      <c r="V188">
        <v>26843</v>
      </c>
      <c r="W188" t="str">
        <f t="shared" si="21"/>
        <v>Yes</v>
      </c>
      <c r="X188" t="str">
        <f t="shared" si="22"/>
        <v>Level 1</v>
      </c>
      <c r="Y188" s="2">
        <f t="shared" si="23"/>
        <v>45970</v>
      </c>
    </row>
    <row r="189" spans="1:25" x14ac:dyDescent="0.25">
      <c r="A189" t="s">
        <v>394</v>
      </c>
      <c r="B189" t="s">
        <v>28</v>
      </c>
      <c r="C189" t="s">
        <v>21</v>
      </c>
      <c r="D189" t="s">
        <v>22</v>
      </c>
      <c r="E189" t="s">
        <v>23</v>
      </c>
      <c r="F189" s="1">
        <v>11</v>
      </c>
      <c r="G189" t="s">
        <v>249</v>
      </c>
      <c r="H189" t="s">
        <v>40</v>
      </c>
      <c r="I189" t="s">
        <v>17</v>
      </c>
      <c r="J189" t="s">
        <v>18</v>
      </c>
      <c r="K189" t="str">
        <f t="shared" si="16"/>
        <v>Road Damage</v>
      </c>
      <c r="L189" t="s">
        <v>883</v>
      </c>
      <c r="M189" t="str">
        <f t="shared" si="17"/>
        <v>Road damaged due to heavy rain</v>
      </c>
      <c r="N189">
        <v>3</v>
      </c>
      <c r="O189" t="s">
        <v>37</v>
      </c>
      <c r="P189">
        <f t="shared" si="18"/>
        <v>7</v>
      </c>
      <c r="Q189" t="str">
        <f t="shared" si="19"/>
        <v>Delayed</v>
      </c>
      <c r="R189" t="str">
        <f t="shared" si="20"/>
        <v>Off189</v>
      </c>
      <c r="S189">
        <v>9</v>
      </c>
      <c r="T189">
        <v>28</v>
      </c>
      <c r="U189">
        <v>27432</v>
      </c>
      <c r="V189">
        <v>29394</v>
      </c>
      <c r="W189" t="str">
        <f t="shared" si="21"/>
        <v>Yes</v>
      </c>
      <c r="X189" t="str">
        <f t="shared" si="22"/>
        <v>Level 2</v>
      </c>
      <c r="Y189" s="2">
        <f t="shared" si="23"/>
        <v>46144</v>
      </c>
    </row>
    <row r="190" spans="1:25" x14ac:dyDescent="0.25">
      <c r="A190" t="s">
        <v>395</v>
      </c>
      <c r="B190" t="s">
        <v>60</v>
      </c>
      <c r="C190" t="s">
        <v>33</v>
      </c>
      <c r="D190" t="s">
        <v>34</v>
      </c>
      <c r="E190" t="s">
        <v>14</v>
      </c>
      <c r="F190" s="1">
        <v>6</v>
      </c>
      <c r="G190" t="s">
        <v>396</v>
      </c>
      <c r="H190" t="s">
        <v>40</v>
      </c>
      <c r="I190" t="s">
        <v>26</v>
      </c>
      <c r="J190" t="s">
        <v>37</v>
      </c>
      <c r="K190" t="str">
        <f t="shared" si="16"/>
        <v>General Complaint</v>
      </c>
      <c r="L190" t="s">
        <v>884</v>
      </c>
      <c r="M190" t="str">
        <f t="shared" si="17"/>
        <v>General complaint reported</v>
      </c>
      <c r="N190">
        <v>5</v>
      </c>
      <c r="O190" t="s">
        <v>37</v>
      </c>
      <c r="P190">
        <f t="shared" si="18"/>
        <v>3</v>
      </c>
      <c r="Q190" t="str">
        <f t="shared" si="19"/>
        <v>Delayed</v>
      </c>
      <c r="R190" t="str">
        <f t="shared" si="20"/>
        <v>Off190</v>
      </c>
      <c r="S190">
        <v>5</v>
      </c>
      <c r="T190">
        <v>25</v>
      </c>
      <c r="U190">
        <v>13336</v>
      </c>
      <c r="V190">
        <v>14171</v>
      </c>
      <c r="W190" t="str">
        <f t="shared" si="21"/>
        <v>Yes</v>
      </c>
      <c r="X190" t="str">
        <f t="shared" si="22"/>
        <v>Level 3</v>
      </c>
      <c r="Y190" s="2">
        <f t="shared" si="23"/>
        <v>46055</v>
      </c>
    </row>
    <row r="191" spans="1:25" x14ac:dyDescent="0.25">
      <c r="A191" t="s">
        <v>397</v>
      </c>
      <c r="B191" t="s">
        <v>11</v>
      </c>
      <c r="C191" t="s">
        <v>49</v>
      </c>
      <c r="D191" t="s">
        <v>34</v>
      </c>
      <c r="E191" t="s">
        <v>42</v>
      </c>
      <c r="F191" s="1">
        <v>22</v>
      </c>
      <c r="G191" t="s">
        <v>398</v>
      </c>
      <c r="H191" t="s">
        <v>47</v>
      </c>
      <c r="I191" t="s">
        <v>65</v>
      </c>
      <c r="J191" t="s">
        <v>18</v>
      </c>
      <c r="K191" t="str">
        <f t="shared" si="16"/>
        <v>Water Leakage</v>
      </c>
      <c r="L191" t="s">
        <v>885</v>
      </c>
      <c r="M191" t="str">
        <f t="shared" si="17"/>
        <v>Water pipe leakage near school</v>
      </c>
      <c r="N191">
        <v>3</v>
      </c>
      <c r="O191" t="s">
        <v>37</v>
      </c>
      <c r="P191">
        <f t="shared" si="18"/>
        <v>3</v>
      </c>
      <c r="Q191" t="str">
        <f t="shared" si="19"/>
        <v>Delayed</v>
      </c>
      <c r="R191" t="str">
        <f t="shared" si="20"/>
        <v>Off191</v>
      </c>
      <c r="S191">
        <v>14</v>
      </c>
      <c r="T191">
        <v>18</v>
      </c>
      <c r="U191">
        <v>43837</v>
      </c>
      <c r="V191">
        <v>41958</v>
      </c>
      <c r="W191" t="str">
        <f t="shared" si="21"/>
        <v>Yes</v>
      </c>
      <c r="X191" t="str">
        <f t="shared" si="22"/>
        <v>Level 3</v>
      </c>
      <c r="Y191" s="2">
        <f t="shared" si="23"/>
        <v>45682</v>
      </c>
    </row>
    <row r="192" spans="1:25" x14ac:dyDescent="0.25">
      <c r="A192" t="s">
        <v>399</v>
      </c>
      <c r="B192" t="s">
        <v>53</v>
      </c>
      <c r="C192" t="s">
        <v>56</v>
      </c>
      <c r="D192" t="s">
        <v>22</v>
      </c>
      <c r="E192" t="s">
        <v>42</v>
      </c>
      <c r="F192" s="1">
        <v>13</v>
      </c>
      <c r="G192" t="s">
        <v>31</v>
      </c>
      <c r="H192" t="s">
        <v>47</v>
      </c>
      <c r="I192" t="s">
        <v>44</v>
      </c>
      <c r="J192" t="s">
        <v>18</v>
      </c>
      <c r="K192" t="str">
        <f t="shared" si="16"/>
        <v>Public Transport Delay</v>
      </c>
      <c r="L192" t="s">
        <v>881</v>
      </c>
      <c r="M192" t="str">
        <f t="shared" si="17"/>
        <v>Bus arrival delay reported</v>
      </c>
      <c r="N192">
        <v>4</v>
      </c>
      <c r="O192" t="s">
        <v>37</v>
      </c>
      <c r="P192">
        <f t="shared" si="18"/>
        <v>7</v>
      </c>
      <c r="Q192" t="str">
        <f t="shared" si="19"/>
        <v>Delayed</v>
      </c>
      <c r="R192" t="str">
        <f t="shared" si="20"/>
        <v>Off192</v>
      </c>
      <c r="S192">
        <v>11</v>
      </c>
      <c r="T192">
        <v>12</v>
      </c>
      <c r="U192">
        <v>18088</v>
      </c>
      <c r="V192">
        <v>17095</v>
      </c>
      <c r="W192" t="str">
        <f t="shared" si="21"/>
        <v>Yes</v>
      </c>
      <c r="X192" t="str">
        <f t="shared" si="22"/>
        <v>Level 2</v>
      </c>
      <c r="Y192" s="2">
        <f t="shared" si="23"/>
        <v>45746</v>
      </c>
    </row>
    <row r="193" spans="1:25" x14ac:dyDescent="0.25">
      <c r="A193" t="s">
        <v>400</v>
      </c>
      <c r="B193" t="s">
        <v>20</v>
      </c>
      <c r="C193" t="s">
        <v>33</v>
      </c>
      <c r="D193" t="s">
        <v>13</v>
      </c>
      <c r="E193" t="s">
        <v>14</v>
      </c>
      <c r="F193" s="1">
        <v>5</v>
      </c>
      <c r="G193" t="s">
        <v>401</v>
      </c>
      <c r="H193" t="s">
        <v>58</v>
      </c>
      <c r="I193" t="s">
        <v>26</v>
      </c>
      <c r="J193" t="s">
        <v>37</v>
      </c>
      <c r="K193" t="str">
        <f t="shared" si="16"/>
        <v>Garbage Collection</v>
      </c>
      <c r="L193" t="s">
        <v>882</v>
      </c>
      <c r="M193" t="str">
        <f t="shared" si="17"/>
        <v>Garbage not collected for 3 days</v>
      </c>
      <c r="N193">
        <v>4</v>
      </c>
      <c r="O193" t="s">
        <v>37</v>
      </c>
      <c r="P193">
        <f t="shared" si="18"/>
        <v>15</v>
      </c>
      <c r="Q193" t="str">
        <f t="shared" si="19"/>
        <v>Within SLA</v>
      </c>
      <c r="R193" t="str">
        <f t="shared" si="20"/>
        <v>Off193</v>
      </c>
      <c r="S193">
        <v>15</v>
      </c>
      <c r="T193">
        <v>26</v>
      </c>
      <c r="U193">
        <v>1646</v>
      </c>
      <c r="V193">
        <v>-77</v>
      </c>
      <c r="W193" t="str">
        <f t="shared" si="21"/>
        <v>No</v>
      </c>
      <c r="X193" t="str">
        <f t="shared" si="22"/>
        <v>None</v>
      </c>
      <c r="Y193" s="2">
        <f t="shared" si="23"/>
        <v>46048</v>
      </c>
    </row>
    <row r="194" spans="1:25" x14ac:dyDescent="0.25">
      <c r="A194" t="s">
        <v>402</v>
      </c>
      <c r="B194" t="s">
        <v>53</v>
      </c>
      <c r="C194" t="s">
        <v>49</v>
      </c>
      <c r="D194" t="s">
        <v>22</v>
      </c>
      <c r="E194" t="s">
        <v>23</v>
      </c>
      <c r="F194" s="1">
        <v>17</v>
      </c>
      <c r="G194" t="s">
        <v>403</v>
      </c>
      <c r="H194" t="s">
        <v>40</v>
      </c>
      <c r="I194" t="s">
        <v>36</v>
      </c>
      <c r="J194" t="s">
        <v>18</v>
      </c>
      <c r="K194" t="str">
        <f t="shared" si="16"/>
        <v>Public Transport Delay</v>
      </c>
      <c r="L194" t="s">
        <v>883</v>
      </c>
      <c r="M194" t="str">
        <f t="shared" si="17"/>
        <v>Bus arrival delay reported</v>
      </c>
      <c r="N194">
        <v>1</v>
      </c>
      <c r="O194" t="s">
        <v>18</v>
      </c>
      <c r="P194">
        <f t="shared" si="18"/>
        <v>7</v>
      </c>
      <c r="Q194" t="str">
        <f t="shared" si="19"/>
        <v>Delayed</v>
      </c>
      <c r="R194" t="str">
        <f t="shared" si="20"/>
        <v>Off194</v>
      </c>
      <c r="S194">
        <v>10</v>
      </c>
      <c r="T194">
        <v>25</v>
      </c>
      <c r="U194">
        <v>48263</v>
      </c>
      <c r="V194">
        <v>48380</v>
      </c>
      <c r="W194" t="str">
        <f t="shared" si="21"/>
        <v>Yes</v>
      </c>
      <c r="X194" t="str">
        <f t="shared" si="22"/>
        <v>Level 2</v>
      </c>
      <c r="Y194" s="2">
        <f t="shared" si="23"/>
        <v>46123</v>
      </c>
    </row>
    <row r="195" spans="1:25" x14ac:dyDescent="0.25">
      <c r="A195" t="s">
        <v>404</v>
      </c>
      <c r="B195" t="s">
        <v>28</v>
      </c>
      <c r="C195" t="s">
        <v>76</v>
      </c>
      <c r="D195" t="s">
        <v>22</v>
      </c>
      <c r="E195" t="s">
        <v>30</v>
      </c>
      <c r="F195" s="1">
        <v>7</v>
      </c>
      <c r="G195" t="s">
        <v>405</v>
      </c>
      <c r="H195" t="s">
        <v>40</v>
      </c>
      <c r="I195" t="s">
        <v>36</v>
      </c>
      <c r="J195" t="s">
        <v>37</v>
      </c>
      <c r="K195" t="str">
        <f t="shared" ref="K195:K258" si="24">IF(B195="Water Supply","Water Leakage",
IF(B195="Roads","Road Damage",
IF(B195="Municipal Services","Garbage Collection",
IF(B195="Electricity","Street Light Failure",
IF(B195="Public Transport","Public Transport Delay","General Complaint")))))</f>
        <v>Road Damage</v>
      </c>
      <c r="L195" t="s">
        <v>884</v>
      </c>
      <c r="M195" t="str">
        <f t="shared" ref="M195:M258" si="25">IF(K195="Water Leakage","Water pipe leakage near school",
IF(K195="Road Damage","Road damaged due to heavy rain",
IF(K195="Garbage Collection","Garbage not collected for 3 days",
IF(K195="Street Light Failure","Street light not working in residential area",
IF(K195="Public Transport Delay","Bus arrival delay reported",
"General complaint reported")))))</f>
        <v>Road damaged due to heavy rain</v>
      </c>
      <c r="N195">
        <v>4</v>
      </c>
      <c r="O195" t="s">
        <v>37</v>
      </c>
      <c r="P195">
        <f t="shared" ref="P195:P258" si="26">IF(D195="High",3,
IF(D195="Medium",7,15))</f>
        <v>7</v>
      </c>
      <c r="Q195" t="str">
        <f t="shared" ref="Q195:Q258" si="27">IF(F195&lt;=P195,"Within SLA","Delayed")</f>
        <v>Within SLA</v>
      </c>
      <c r="R195" t="str">
        <f t="shared" ref="R195:R258" si="28">"Off"&amp;TEXT(ROW(A195),"000")</f>
        <v>Off195</v>
      </c>
      <c r="S195">
        <v>8</v>
      </c>
      <c r="T195">
        <v>31</v>
      </c>
      <c r="U195">
        <v>16201</v>
      </c>
      <c r="V195">
        <v>16076</v>
      </c>
      <c r="W195" t="str">
        <f t="shared" ref="W195:W258" si="29">IF(F195&gt;P195,"Yes","No")</f>
        <v>No</v>
      </c>
      <c r="X195" t="str">
        <f t="shared" ref="X195:X258" si="30">IF(W195="No","None",
IF(D195="High","Level 3",
IF(D195="Medium","Level 2","Level 1")))</f>
        <v>None</v>
      </c>
      <c r="Y195" s="2">
        <f t="shared" ref="Y195:Y258" si="31">G195+F195</f>
        <v>45963</v>
      </c>
    </row>
    <row r="196" spans="1:25" x14ac:dyDescent="0.25">
      <c r="A196" t="s">
        <v>406</v>
      </c>
      <c r="B196" t="s">
        <v>11</v>
      </c>
      <c r="C196" t="s">
        <v>39</v>
      </c>
      <c r="D196" t="s">
        <v>22</v>
      </c>
      <c r="E196" t="s">
        <v>30</v>
      </c>
      <c r="F196" s="1">
        <v>24</v>
      </c>
      <c r="G196" t="s">
        <v>407</v>
      </c>
      <c r="H196" t="s">
        <v>40</v>
      </c>
      <c r="I196" t="s">
        <v>36</v>
      </c>
      <c r="J196" t="s">
        <v>18</v>
      </c>
      <c r="K196" t="str">
        <f t="shared" si="24"/>
        <v>Water Leakage</v>
      </c>
      <c r="L196" t="s">
        <v>885</v>
      </c>
      <c r="M196" t="str">
        <f t="shared" si="25"/>
        <v>Water pipe leakage near school</v>
      </c>
      <c r="N196">
        <v>5</v>
      </c>
      <c r="O196" t="s">
        <v>37</v>
      </c>
      <c r="P196">
        <f t="shared" si="26"/>
        <v>7</v>
      </c>
      <c r="Q196" t="str">
        <f t="shared" si="27"/>
        <v>Delayed</v>
      </c>
      <c r="R196" t="str">
        <f t="shared" si="28"/>
        <v>Off196</v>
      </c>
      <c r="S196">
        <v>13</v>
      </c>
      <c r="T196">
        <v>15</v>
      </c>
      <c r="U196">
        <v>24266</v>
      </c>
      <c r="V196">
        <v>24535</v>
      </c>
      <c r="W196" t="str">
        <f t="shared" si="29"/>
        <v>Yes</v>
      </c>
      <c r="X196" t="str">
        <f t="shared" si="30"/>
        <v>Level 2</v>
      </c>
      <c r="Y196" s="2">
        <f t="shared" si="31"/>
        <v>45911</v>
      </c>
    </row>
    <row r="197" spans="1:25" x14ac:dyDescent="0.25">
      <c r="A197" t="s">
        <v>408</v>
      </c>
      <c r="B197" t="s">
        <v>69</v>
      </c>
      <c r="C197" t="s">
        <v>56</v>
      </c>
      <c r="D197" t="s">
        <v>13</v>
      </c>
      <c r="E197" t="s">
        <v>42</v>
      </c>
      <c r="F197" s="1">
        <v>4</v>
      </c>
      <c r="G197" t="s">
        <v>409</v>
      </c>
      <c r="H197" t="s">
        <v>40</v>
      </c>
      <c r="I197" t="s">
        <v>44</v>
      </c>
      <c r="J197" t="s">
        <v>37</v>
      </c>
      <c r="K197" t="str">
        <f t="shared" si="24"/>
        <v>General Complaint</v>
      </c>
      <c r="L197" t="s">
        <v>881</v>
      </c>
      <c r="M197" t="str">
        <f t="shared" si="25"/>
        <v>General complaint reported</v>
      </c>
      <c r="N197">
        <v>4</v>
      </c>
      <c r="O197" t="s">
        <v>37</v>
      </c>
      <c r="P197">
        <f t="shared" si="26"/>
        <v>15</v>
      </c>
      <c r="Q197" t="str">
        <f t="shared" si="27"/>
        <v>Within SLA</v>
      </c>
      <c r="R197" t="str">
        <f t="shared" si="28"/>
        <v>Off197</v>
      </c>
      <c r="S197">
        <v>10</v>
      </c>
      <c r="T197">
        <v>44</v>
      </c>
      <c r="U197">
        <v>23537</v>
      </c>
      <c r="V197">
        <v>23134</v>
      </c>
      <c r="W197" t="str">
        <f t="shared" si="29"/>
        <v>No</v>
      </c>
      <c r="X197" t="str">
        <f t="shared" si="30"/>
        <v>None</v>
      </c>
      <c r="Y197" s="2">
        <f t="shared" si="31"/>
        <v>45883</v>
      </c>
    </row>
    <row r="198" spans="1:25" x14ac:dyDescent="0.25">
      <c r="A198" t="s">
        <v>410</v>
      </c>
      <c r="B198" t="s">
        <v>28</v>
      </c>
      <c r="C198" t="s">
        <v>61</v>
      </c>
      <c r="D198" t="s">
        <v>34</v>
      </c>
      <c r="E198" t="s">
        <v>30</v>
      </c>
      <c r="F198" s="1">
        <v>22</v>
      </c>
      <c r="G198" t="s">
        <v>411</v>
      </c>
      <c r="H198" t="s">
        <v>47</v>
      </c>
      <c r="I198" t="s">
        <v>17</v>
      </c>
      <c r="J198" t="s">
        <v>18</v>
      </c>
      <c r="K198" t="str">
        <f t="shared" si="24"/>
        <v>Road Damage</v>
      </c>
      <c r="L198" t="s">
        <v>882</v>
      </c>
      <c r="M198" t="str">
        <f t="shared" si="25"/>
        <v>Road damaged due to heavy rain</v>
      </c>
      <c r="N198">
        <v>4</v>
      </c>
      <c r="O198" t="s">
        <v>37</v>
      </c>
      <c r="P198">
        <f t="shared" si="26"/>
        <v>3</v>
      </c>
      <c r="Q198" t="str">
        <f t="shared" si="27"/>
        <v>Delayed</v>
      </c>
      <c r="R198" t="str">
        <f t="shared" si="28"/>
        <v>Off198</v>
      </c>
      <c r="S198">
        <v>6</v>
      </c>
      <c r="T198">
        <v>8</v>
      </c>
      <c r="U198">
        <v>36879</v>
      </c>
      <c r="V198">
        <v>35763</v>
      </c>
      <c r="W198" t="str">
        <f t="shared" si="29"/>
        <v>Yes</v>
      </c>
      <c r="X198" t="str">
        <f t="shared" si="30"/>
        <v>Level 3</v>
      </c>
      <c r="Y198" s="2">
        <f t="shared" si="31"/>
        <v>45843</v>
      </c>
    </row>
    <row r="199" spans="1:25" x14ac:dyDescent="0.25">
      <c r="A199" t="s">
        <v>412</v>
      </c>
      <c r="B199" t="s">
        <v>11</v>
      </c>
      <c r="C199" t="s">
        <v>61</v>
      </c>
      <c r="D199" t="s">
        <v>13</v>
      </c>
      <c r="E199" t="s">
        <v>30</v>
      </c>
      <c r="F199" s="1">
        <v>39</v>
      </c>
      <c r="G199" t="s">
        <v>413</v>
      </c>
      <c r="H199" t="s">
        <v>25</v>
      </c>
      <c r="I199" t="s">
        <v>26</v>
      </c>
      <c r="J199" t="s">
        <v>18</v>
      </c>
      <c r="K199" t="str">
        <f t="shared" si="24"/>
        <v>Water Leakage</v>
      </c>
      <c r="L199" t="s">
        <v>883</v>
      </c>
      <c r="M199" t="str">
        <f t="shared" si="25"/>
        <v>Water pipe leakage near school</v>
      </c>
      <c r="N199">
        <v>5</v>
      </c>
      <c r="O199" t="s">
        <v>37</v>
      </c>
      <c r="P199">
        <f t="shared" si="26"/>
        <v>15</v>
      </c>
      <c r="Q199" t="str">
        <f t="shared" si="27"/>
        <v>Delayed</v>
      </c>
      <c r="R199" t="str">
        <f t="shared" si="28"/>
        <v>Off199</v>
      </c>
      <c r="S199">
        <v>2</v>
      </c>
      <c r="T199">
        <v>12</v>
      </c>
      <c r="U199">
        <v>26882</v>
      </c>
      <c r="V199">
        <v>28272</v>
      </c>
      <c r="W199" t="str">
        <f t="shared" si="29"/>
        <v>Yes</v>
      </c>
      <c r="X199" t="str">
        <f t="shared" si="30"/>
        <v>Level 1</v>
      </c>
      <c r="Y199" s="2">
        <f t="shared" si="31"/>
        <v>45852</v>
      </c>
    </row>
    <row r="200" spans="1:25" x14ac:dyDescent="0.25">
      <c r="A200" t="s">
        <v>414</v>
      </c>
      <c r="B200" t="s">
        <v>20</v>
      </c>
      <c r="C200" t="s">
        <v>76</v>
      </c>
      <c r="D200" t="s">
        <v>34</v>
      </c>
      <c r="E200" t="s">
        <v>14</v>
      </c>
      <c r="F200" s="1">
        <v>0</v>
      </c>
      <c r="G200" t="s">
        <v>415</v>
      </c>
      <c r="H200" t="s">
        <v>51</v>
      </c>
      <c r="I200" t="s">
        <v>44</v>
      </c>
      <c r="J200" t="s">
        <v>37</v>
      </c>
      <c r="K200" t="str">
        <f t="shared" si="24"/>
        <v>Garbage Collection</v>
      </c>
      <c r="L200" t="s">
        <v>884</v>
      </c>
      <c r="M200" t="str">
        <f t="shared" si="25"/>
        <v>Garbage not collected for 3 days</v>
      </c>
      <c r="N200">
        <v>4</v>
      </c>
      <c r="O200" t="s">
        <v>37</v>
      </c>
      <c r="P200">
        <f t="shared" si="26"/>
        <v>3</v>
      </c>
      <c r="Q200" t="str">
        <f t="shared" si="27"/>
        <v>Within SLA</v>
      </c>
      <c r="R200" t="str">
        <f t="shared" si="28"/>
        <v>Off200</v>
      </c>
      <c r="S200">
        <v>8</v>
      </c>
      <c r="T200">
        <v>17</v>
      </c>
      <c r="U200">
        <v>48317</v>
      </c>
      <c r="V200">
        <v>46393</v>
      </c>
      <c r="W200" t="str">
        <f t="shared" si="29"/>
        <v>No</v>
      </c>
      <c r="X200" t="str">
        <f t="shared" si="30"/>
        <v>None</v>
      </c>
      <c r="Y200" s="2">
        <f t="shared" si="31"/>
        <v>45790</v>
      </c>
    </row>
    <row r="201" spans="1:25" x14ac:dyDescent="0.25">
      <c r="A201" t="s">
        <v>416</v>
      </c>
      <c r="B201" t="s">
        <v>11</v>
      </c>
      <c r="C201" t="s">
        <v>49</v>
      </c>
      <c r="D201" t="s">
        <v>13</v>
      </c>
      <c r="E201" t="s">
        <v>14</v>
      </c>
      <c r="F201" s="1">
        <v>29</v>
      </c>
      <c r="G201" t="s">
        <v>130</v>
      </c>
      <c r="H201" t="s">
        <v>16</v>
      </c>
      <c r="I201" t="s">
        <v>44</v>
      </c>
      <c r="J201" t="s">
        <v>18</v>
      </c>
      <c r="K201" t="str">
        <f t="shared" si="24"/>
        <v>Water Leakage</v>
      </c>
      <c r="L201" t="s">
        <v>885</v>
      </c>
      <c r="M201" t="str">
        <f t="shared" si="25"/>
        <v>Water pipe leakage near school</v>
      </c>
      <c r="N201">
        <v>5</v>
      </c>
      <c r="O201" t="s">
        <v>37</v>
      </c>
      <c r="P201">
        <f t="shared" si="26"/>
        <v>15</v>
      </c>
      <c r="Q201" t="str">
        <f t="shared" si="27"/>
        <v>Delayed</v>
      </c>
      <c r="R201" t="str">
        <f t="shared" si="28"/>
        <v>Off201</v>
      </c>
      <c r="S201">
        <v>4</v>
      </c>
      <c r="T201">
        <v>46</v>
      </c>
      <c r="U201">
        <v>43025</v>
      </c>
      <c r="V201">
        <v>41123</v>
      </c>
      <c r="W201" t="str">
        <f t="shared" si="29"/>
        <v>Yes</v>
      </c>
      <c r="X201" t="str">
        <f t="shared" si="30"/>
        <v>Level 1</v>
      </c>
      <c r="Y201" s="2">
        <f t="shared" si="31"/>
        <v>45923</v>
      </c>
    </row>
    <row r="202" spans="1:25" x14ac:dyDescent="0.25">
      <c r="A202" t="s">
        <v>417</v>
      </c>
      <c r="B202" t="s">
        <v>20</v>
      </c>
      <c r="C202" t="s">
        <v>21</v>
      </c>
      <c r="D202" t="s">
        <v>34</v>
      </c>
      <c r="E202" t="s">
        <v>30</v>
      </c>
      <c r="F202" s="1">
        <v>22</v>
      </c>
      <c r="G202" t="s">
        <v>337</v>
      </c>
      <c r="H202" t="s">
        <v>25</v>
      </c>
      <c r="I202" t="s">
        <v>65</v>
      </c>
      <c r="J202" t="s">
        <v>18</v>
      </c>
      <c r="K202" t="str">
        <f t="shared" si="24"/>
        <v>Garbage Collection</v>
      </c>
      <c r="L202" t="s">
        <v>881</v>
      </c>
      <c r="M202" t="str">
        <f t="shared" si="25"/>
        <v>Garbage not collected for 3 days</v>
      </c>
      <c r="N202">
        <v>5</v>
      </c>
      <c r="O202" t="s">
        <v>37</v>
      </c>
      <c r="P202">
        <f t="shared" si="26"/>
        <v>3</v>
      </c>
      <c r="Q202" t="str">
        <f t="shared" si="27"/>
        <v>Delayed</v>
      </c>
      <c r="R202" t="str">
        <f t="shared" si="28"/>
        <v>Off202</v>
      </c>
      <c r="S202">
        <v>6</v>
      </c>
      <c r="T202">
        <v>38</v>
      </c>
      <c r="U202">
        <v>32355</v>
      </c>
      <c r="V202">
        <v>30664</v>
      </c>
      <c r="W202" t="str">
        <f t="shared" si="29"/>
        <v>Yes</v>
      </c>
      <c r="X202" t="str">
        <f t="shared" si="30"/>
        <v>Level 3</v>
      </c>
      <c r="Y202" s="2">
        <f t="shared" si="31"/>
        <v>46112</v>
      </c>
    </row>
    <row r="203" spans="1:25" x14ac:dyDescent="0.25">
      <c r="A203" t="s">
        <v>418</v>
      </c>
      <c r="B203" t="s">
        <v>60</v>
      </c>
      <c r="C203" t="s">
        <v>12</v>
      </c>
      <c r="D203" t="s">
        <v>34</v>
      </c>
      <c r="E203" t="s">
        <v>30</v>
      </c>
      <c r="F203" s="1">
        <v>7</v>
      </c>
      <c r="G203" t="s">
        <v>419</v>
      </c>
      <c r="H203" t="s">
        <v>47</v>
      </c>
      <c r="I203" t="s">
        <v>44</v>
      </c>
      <c r="J203" t="s">
        <v>37</v>
      </c>
      <c r="K203" t="str">
        <f t="shared" si="24"/>
        <v>General Complaint</v>
      </c>
      <c r="L203" t="s">
        <v>882</v>
      </c>
      <c r="M203" t="str">
        <f t="shared" si="25"/>
        <v>General complaint reported</v>
      </c>
      <c r="N203">
        <v>5</v>
      </c>
      <c r="O203" t="s">
        <v>37</v>
      </c>
      <c r="P203">
        <f t="shared" si="26"/>
        <v>3</v>
      </c>
      <c r="Q203" t="str">
        <f t="shared" si="27"/>
        <v>Delayed</v>
      </c>
      <c r="R203" t="str">
        <f t="shared" si="28"/>
        <v>Off203</v>
      </c>
      <c r="S203">
        <v>14</v>
      </c>
      <c r="T203">
        <v>9</v>
      </c>
      <c r="U203">
        <v>1050</v>
      </c>
      <c r="V203">
        <v>2248</v>
      </c>
      <c r="W203" t="str">
        <f t="shared" si="29"/>
        <v>Yes</v>
      </c>
      <c r="X203" t="str">
        <f t="shared" si="30"/>
        <v>Level 3</v>
      </c>
      <c r="Y203" s="2">
        <f t="shared" si="31"/>
        <v>45825</v>
      </c>
    </row>
    <row r="204" spans="1:25" x14ac:dyDescent="0.25">
      <c r="A204" t="s">
        <v>420</v>
      </c>
      <c r="B204" t="s">
        <v>69</v>
      </c>
      <c r="C204" t="s">
        <v>33</v>
      </c>
      <c r="D204" t="s">
        <v>13</v>
      </c>
      <c r="E204" t="s">
        <v>14</v>
      </c>
      <c r="F204" s="1">
        <v>26</v>
      </c>
      <c r="G204" t="s">
        <v>421</v>
      </c>
      <c r="H204" t="s">
        <v>40</v>
      </c>
      <c r="I204" t="s">
        <v>17</v>
      </c>
      <c r="J204" t="s">
        <v>18</v>
      </c>
      <c r="K204" t="str">
        <f t="shared" si="24"/>
        <v>General Complaint</v>
      </c>
      <c r="L204" t="s">
        <v>883</v>
      </c>
      <c r="M204" t="str">
        <f t="shared" si="25"/>
        <v>General complaint reported</v>
      </c>
      <c r="N204">
        <v>5</v>
      </c>
      <c r="O204" t="s">
        <v>37</v>
      </c>
      <c r="P204">
        <f t="shared" si="26"/>
        <v>15</v>
      </c>
      <c r="Q204" t="str">
        <f t="shared" si="27"/>
        <v>Delayed</v>
      </c>
      <c r="R204" t="str">
        <f t="shared" si="28"/>
        <v>Off204</v>
      </c>
      <c r="S204">
        <v>1</v>
      </c>
      <c r="T204">
        <v>34</v>
      </c>
      <c r="U204">
        <v>34383</v>
      </c>
      <c r="V204">
        <v>34374</v>
      </c>
      <c r="W204" t="str">
        <f t="shared" si="29"/>
        <v>Yes</v>
      </c>
      <c r="X204" t="str">
        <f t="shared" si="30"/>
        <v>Level 1</v>
      </c>
      <c r="Y204" s="2">
        <f t="shared" si="31"/>
        <v>46077</v>
      </c>
    </row>
    <row r="205" spans="1:25" x14ac:dyDescent="0.25">
      <c r="A205" t="s">
        <v>422</v>
      </c>
      <c r="B205" t="s">
        <v>53</v>
      </c>
      <c r="C205" t="s">
        <v>12</v>
      </c>
      <c r="D205" t="s">
        <v>13</v>
      </c>
      <c r="E205" t="s">
        <v>30</v>
      </c>
      <c r="F205" s="1">
        <v>41</v>
      </c>
      <c r="G205" t="s">
        <v>423</v>
      </c>
      <c r="H205" t="s">
        <v>51</v>
      </c>
      <c r="I205" t="s">
        <v>65</v>
      </c>
      <c r="J205" t="s">
        <v>18</v>
      </c>
      <c r="K205" t="str">
        <f t="shared" si="24"/>
        <v>Public Transport Delay</v>
      </c>
      <c r="L205" t="s">
        <v>884</v>
      </c>
      <c r="M205" t="str">
        <f t="shared" si="25"/>
        <v>Bus arrival delay reported</v>
      </c>
      <c r="N205">
        <v>5</v>
      </c>
      <c r="O205" t="s">
        <v>37</v>
      </c>
      <c r="P205">
        <f t="shared" si="26"/>
        <v>15</v>
      </c>
      <c r="Q205" t="str">
        <f t="shared" si="27"/>
        <v>Delayed</v>
      </c>
      <c r="R205" t="str">
        <f t="shared" si="28"/>
        <v>Off205</v>
      </c>
      <c r="S205">
        <v>8</v>
      </c>
      <c r="T205">
        <v>41</v>
      </c>
      <c r="U205">
        <v>25382</v>
      </c>
      <c r="V205">
        <v>23556</v>
      </c>
      <c r="W205" t="str">
        <f t="shared" si="29"/>
        <v>Yes</v>
      </c>
      <c r="X205" t="str">
        <f t="shared" si="30"/>
        <v>Level 1</v>
      </c>
      <c r="Y205" s="2">
        <f t="shared" si="31"/>
        <v>46160</v>
      </c>
    </row>
    <row r="206" spans="1:25" x14ac:dyDescent="0.25">
      <c r="A206" t="s">
        <v>424</v>
      </c>
      <c r="B206" t="s">
        <v>69</v>
      </c>
      <c r="C206" t="s">
        <v>12</v>
      </c>
      <c r="D206" t="s">
        <v>22</v>
      </c>
      <c r="E206" t="s">
        <v>14</v>
      </c>
      <c r="F206" s="1">
        <v>34</v>
      </c>
      <c r="G206" t="s">
        <v>278</v>
      </c>
      <c r="H206" t="s">
        <v>47</v>
      </c>
      <c r="I206" t="s">
        <v>36</v>
      </c>
      <c r="J206" t="s">
        <v>18</v>
      </c>
      <c r="K206" t="str">
        <f t="shared" si="24"/>
        <v>General Complaint</v>
      </c>
      <c r="L206" t="s">
        <v>885</v>
      </c>
      <c r="M206" t="str">
        <f t="shared" si="25"/>
        <v>General complaint reported</v>
      </c>
      <c r="N206">
        <v>2</v>
      </c>
      <c r="O206" t="s">
        <v>18</v>
      </c>
      <c r="P206">
        <f t="shared" si="26"/>
        <v>7</v>
      </c>
      <c r="Q206" t="str">
        <f t="shared" si="27"/>
        <v>Delayed</v>
      </c>
      <c r="R206" t="str">
        <f t="shared" si="28"/>
        <v>Off206</v>
      </c>
      <c r="S206">
        <v>2</v>
      </c>
      <c r="T206">
        <v>17</v>
      </c>
      <c r="U206">
        <v>1484</v>
      </c>
      <c r="V206">
        <v>2703</v>
      </c>
      <c r="W206" t="str">
        <f t="shared" si="29"/>
        <v>Yes</v>
      </c>
      <c r="X206" t="str">
        <f t="shared" si="30"/>
        <v>Level 2</v>
      </c>
      <c r="Y206" s="2">
        <f t="shared" si="31"/>
        <v>45966</v>
      </c>
    </row>
    <row r="207" spans="1:25" x14ac:dyDescent="0.25">
      <c r="A207" t="s">
        <v>425</v>
      </c>
      <c r="B207" t="s">
        <v>53</v>
      </c>
      <c r="C207" t="s">
        <v>29</v>
      </c>
      <c r="D207" t="s">
        <v>13</v>
      </c>
      <c r="E207" t="s">
        <v>14</v>
      </c>
      <c r="F207" s="1">
        <v>8</v>
      </c>
      <c r="G207" t="s">
        <v>426</v>
      </c>
      <c r="H207" t="s">
        <v>25</v>
      </c>
      <c r="I207" t="s">
        <v>65</v>
      </c>
      <c r="J207" t="s">
        <v>18</v>
      </c>
      <c r="K207" t="str">
        <f t="shared" si="24"/>
        <v>Public Transport Delay</v>
      </c>
      <c r="L207" t="s">
        <v>881</v>
      </c>
      <c r="M207" t="str">
        <f t="shared" si="25"/>
        <v>Bus arrival delay reported</v>
      </c>
      <c r="N207">
        <v>3</v>
      </c>
      <c r="O207" t="s">
        <v>37</v>
      </c>
      <c r="P207">
        <f t="shared" si="26"/>
        <v>15</v>
      </c>
      <c r="Q207" t="str">
        <f t="shared" si="27"/>
        <v>Within SLA</v>
      </c>
      <c r="R207" t="str">
        <f t="shared" si="28"/>
        <v>Off207</v>
      </c>
      <c r="S207">
        <v>14</v>
      </c>
      <c r="T207">
        <v>26</v>
      </c>
      <c r="U207">
        <v>18946</v>
      </c>
      <c r="V207">
        <v>20099</v>
      </c>
      <c r="W207" t="str">
        <f t="shared" si="29"/>
        <v>No</v>
      </c>
      <c r="X207" t="str">
        <f t="shared" si="30"/>
        <v>None</v>
      </c>
      <c r="Y207" s="2">
        <f t="shared" si="31"/>
        <v>46088</v>
      </c>
    </row>
    <row r="208" spans="1:25" x14ac:dyDescent="0.25">
      <c r="A208" t="s">
        <v>427</v>
      </c>
      <c r="B208" t="s">
        <v>53</v>
      </c>
      <c r="C208" t="s">
        <v>84</v>
      </c>
      <c r="D208" t="s">
        <v>34</v>
      </c>
      <c r="E208" t="s">
        <v>42</v>
      </c>
      <c r="F208" s="1">
        <v>20</v>
      </c>
      <c r="G208" t="s">
        <v>428</v>
      </c>
      <c r="H208" t="s">
        <v>51</v>
      </c>
      <c r="I208" t="s">
        <v>65</v>
      </c>
      <c r="J208" t="s">
        <v>18</v>
      </c>
      <c r="K208" t="str">
        <f t="shared" si="24"/>
        <v>Public Transport Delay</v>
      </c>
      <c r="L208" t="s">
        <v>882</v>
      </c>
      <c r="M208" t="str">
        <f t="shared" si="25"/>
        <v>Bus arrival delay reported</v>
      </c>
      <c r="N208">
        <v>1</v>
      </c>
      <c r="O208" t="s">
        <v>18</v>
      </c>
      <c r="P208">
        <f t="shared" si="26"/>
        <v>3</v>
      </c>
      <c r="Q208" t="str">
        <f t="shared" si="27"/>
        <v>Delayed</v>
      </c>
      <c r="R208" t="str">
        <f t="shared" si="28"/>
        <v>Off208</v>
      </c>
      <c r="S208">
        <v>3</v>
      </c>
      <c r="T208">
        <v>31</v>
      </c>
      <c r="U208">
        <v>35379</v>
      </c>
      <c r="V208">
        <v>34012</v>
      </c>
      <c r="W208" t="str">
        <f t="shared" si="29"/>
        <v>Yes</v>
      </c>
      <c r="X208" t="str">
        <f t="shared" si="30"/>
        <v>Level 3</v>
      </c>
      <c r="Y208" s="2">
        <f t="shared" si="31"/>
        <v>45844</v>
      </c>
    </row>
    <row r="209" spans="1:25" x14ac:dyDescent="0.25">
      <c r="A209" t="s">
        <v>429</v>
      </c>
      <c r="B209" t="s">
        <v>60</v>
      </c>
      <c r="C209" t="s">
        <v>33</v>
      </c>
      <c r="D209" t="s">
        <v>13</v>
      </c>
      <c r="E209" t="s">
        <v>30</v>
      </c>
      <c r="F209" s="1">
        <v>20</v>
      </c>
      <c r="G209" t="s">
        <v>294</v>
      </c>
      <c r="H209" t="s">
        <v>58</v>
      </c>
      <c r="I209" t="s">
        <v>17</v>
      </c>
      <c r="J209" t="s">
        <v>18</v>
      </c>
      <c r="K209" t="str">
        <f t="shared" si="24"/>
        <v>General Complaint</v>
      </c>
      <c r="L209" t="s">
        <v>883</v>
      </c>
      <c r="M209" t="str">
        <f t="shared" si="25"/>
        <v>General complaint reported</v>
      </c>
      <c r="N209">
        <v>3</v>
      </c>
      <c r="O209" t="s">
        <v>37</v>
      </c>
      <c r="P209">
        <f t="shared" si="26"/>
        <v>15</v>
      </c>
      <c r="Q209" t="str">
        <f t="shared" si="27"/>
        <v>Delayed</v>
      </c>
      <c r="R209" t="str">
        <f t="shared" si="28"/>
        <v>Off209</v>
      </c>
      <c r="S209">
        <v>4</v>
      </c>
      <c r="T209">
        <v>19</v>
      </c>
      <c r="U209">
        <v>39430</v>
      </c>
      <c r="V209">
        <v>40371</v>
      </c>
      <c r="W209" t="str">
        <f t="shared" si="29"/>
        <v>Yes</v>
      </c>
      <c r="X209" t="str">
        <f t="shared" si="30"/>
        <v>Level 1</v>
      </c>
      <c r="Y209" s="2">
        <f t="shared" si="31"/>
        <v>45970</v>
      </c>
    </row>
    <row r="210" spans="1:25" x14ac:dyDescent="0.25">
      <c r="A210" t="s">
        <v>430</v>
      </c>
      <c r="B210" t="s">
        <v>69</v>
      </c>
      <c r="C210" t="s">
        <v>12</v>
      </c>
      <c r="D210" t="s">
        <v>34</v>
      </c>
      <c r="E210" t="s">
        <v>23</v>
      </c>
      <c r="F210" s="1">
        <v>17</v>
      </c>
      <c r="G210" t="s">
        <v>203</v>
      </c>
      <c r="H210" t="s">
        <v>25</v>
      </c>
      <c r="I210" t="s">
        <v>36</v>
      </c>
      <c r="J210" t="s">
        <v>18</v>
      </c>
      <c r="K210" t="str">
        <f t="shared" si="24"/>
        <v>General Complaint</v>
      </c>
      <c r="L210" t="s">
        <v>884</v>
      </c>
      <c r="M210" t="str">
        <f t="shared" si="25"/>
        <v>General complaint reported</v>
      </c>
      <c r="N210">
        <v>1</v>
      </c>
      <c r="O210" t="s">
        <v>18</v>
      </c>
      <c r="P210">
        <f t="shared" si="26"/>
        <v>3</v>
      </c>
      <c r="Q210" t="str">
        <f t="shared" si="27"/>
        <v>Delayed</v>
      </c>
      <c r="R210" t="str">
        <f t="shared" si="28"/>
        <v>Off210</v>
      </c>
      <c r="S210">
        <v>14</v>
      </c>
      <c r="T210">
        <v>8</v>
      </c>
      <c r="U210">
        <v>31852</v>
      </c>
      <c r="V210">
        <v>32567</v>
      </c>
      <c r="W210" t="str">
        <f t="shared" si="29"/>
        <v>Yes</v>
      </c>
      <c r="X210" t="str">
        <f t="shared" si="30"/>
        <v>Level 3</v>
      </c>
      <c r="Y210" s="2">
        <f t="shared" si="31"/>
        <v>45910</v>
      </c>
    </row>
    <row r="211" spans="1:25" x14ac:dyDescent="0.25">
      <c r="A211" t="s">
        <v>431</v>
      </c>
      <c r="B211" t="s">
        <v>11</v>
      </c>
      <c r="C211" t="s">
        <v>84</v>
      </c>
      <c r="D211" t="s">
        <v>34</v>
      </c>
      <c r="E211" t="s">
        <v>30</v>
      </c>
      <c r="F211" s="1">
        <v>25</v>
      </c>
      <c r="G211" t="s">
        <v>432</v>
      </c>
      <c r="H211" t="s">
        <v>58</v>
      </c>
      <c r="I211" t="s">
        <v>44</v>
      </c>
      <c r="J211" t="s">
        <v>18</v>
      </c>
      <c r="K211" t="str">
        <f t="shared" si="24"/>
        <v>Water Leakage</v>
      </c>
      <c r="L211" t="s">
        <v>885</v>
      </c>
      <c r="M211" t="str">
        <f t="shared" si="25"/>
        <v>Water pipe leakage near school</v>
      </c>
      <c r="N211">
        <v>3</v>
      </c>
      <c r="O211" t="s">
        <v>37</v>
      </c>
      <c r="P211">
        <f t="shared" si="26"/>
        <v>3</v>
      </c>
      <c r="Q211" t="str">
        <f t="shared" si="27"/>
        <v>Delayed</v>
      </c>
      <c r="R211" t="str">
        <f t="shared" si="28"/>
        <v>Off211</v>
      </c>
      <c r="S211">
        <v>14</v>
      </c>
      <c r="T211">
        <v>46</v>
      </c>
      <c r="U211">
        <v>35932</v>
      </c>
      <c r="V211">
        <v>37287</v>
      </c>
      <c r="W211" t="str">
        <f t="shared" si="29"/>
        <v>Yes</v>
      </c>
      <c r="X211" t="str">
        <f t="shared" si="30"/>
        <v>Level 3</v>
      </c>
      <c r="Y211" s="2">
        <f t="shared" si="31"/>
        <v>45910</v>
      </c>
    </row>
    <row r="212" spans="1:25" x14ac:dyDescent="0.25">
      <c r="A212" t="s">
        <v>433</v>
      </c>
      <c r="B212" t="s">
        <v>53</v>
      </c>
      <c r="C212" t="s">
        <v>33</v>
      </c>
      <c r="D212" t="s">
        <v>34</v>
      </c>
      <c r="E212" t="s">
        <v>23</v>
      </c>
      <c r="F212" s="1">
        <v>16</v>
      </c>
      <c r="G212" t="s">
        <v>220</v>
      </c>
      <c r="H212" t="s">
        <v>51</v>
      </c>
      <c r="I212" t="s">
        <v>26</v>
      </c>
      <c r="J212" t="s">
        <v>18</v>
      </c>
      <c r="K212" t="str">
        <f t="shared" si="24"/>
        <v>Public Transport Delay</v>
      </c>
      <c r="L212" t="s">
        <v>881</v>
      </c>
      <c r="M212" t="str">
        <f t="shared" si="25"/>
        <v>Bus arrival delay reported</v>
      </c>
      <c r="N212">
        <v>2</v>
      </c>
      <c r="O212" t="s">
        <v>18</v>
      </c>
      <c r="P212">
        <f t="shared" si="26"/>
        <v>3</v>
      </c>
      <c r="Q212" t="str">
        <f t="shared" si="27"/>
        <v>Delayed</v>
      </c>
      <c r="R212" t="str">
        <f t="shared" si="28"/>
        <v>Off212</v>
      </c>
      <c r="S212">
        <v>8</v>
      </c>
      <c r="T212">
        <v>49</v>
      </c>
      <c r="U212">
        <v>13089</v>
      </c>
      <c r="V212">
        <v>13248</v>
      </c>
      <c r="W212" t="str">
        <f t="shared" si="29"/>
        <v>Yes</v>
      </c>
      <c r="X212" t="str">
        <f t="shared" si="30"/>
        <v>Level 3</v>
      </c>
      <c r="Y212" s="2">
        <f t="shared" si="31"/>
        <v>45769</v>
      </c>
    </row>
    <row r="213" spans="1:25" x14ac:dyDescent="0.25">
      <c r="A213" t="s">
        <v>434</v>
      </c>
      <c r="B213" t="s">
        <v>60</v>
      </c>
      <c r="C213" t="s">
        <v>61</v>
      </c>
      <c r="D213" t="s">
        <v>22</v>
      </c>
      <c r="E213" t="s">
        <v>14</v>
      </c>
      <c r="F213" s="1">
        <v>12</v>
      </c>
      <c r="G213" t="s">
        <v>435</v>
      </c>
      <c r="H213" t="s">
        <v>25</v>
      </c>
      <c r="I213" t="s">
        <v>17</v>
      </c>
      <c r="J213" t="s">
        <v>18</v>
      </c>
      <c r="K213" t="str">
        <f t="shared" si="24"/>
        <v>General Complaint</v>
      </c>
      <c r="L213" t="s">
        <v>882</v>
      </c>
      <c r="M213" t="str">
        <f t="shared" si="25"/>
        <v>General complaint reported</v>
      </c>
      <c r="N213">
        <v>3</v>
      </c>
      <c r="O213" t="s">
        <v>37</v>
      </c>
      <c r="P213">
        <f t="shared" si="26"/>
        <v>7</v>
      </c>
      <c r="Q213" t="str">
        <f t="shared" si="27"/>
        <v>Delayed</v>
      </c>
      <c r="R213" t="str">
        <f t="shared" si="28"/>
        <v>Off213</v>
      </c>
      <c r="S213">
        <v>9</v>
      </c>
      <c r="T213">
        <v>42</v>
      </c>
      <c r="U213">
        <v>38415</v>
      </c>
      <c r="V213">
        <v>39743</v>
      </c>
      <c r="W213" t="str">
        <f t="shared" si="29"/>
        <v>Yes</v>
      </c>
      <c r="X213" t="str">
        <f t="shared" si="30"/>
        <v>Level 2</v>
      </c>
      <c r="Y213" s="2">
        <f t="shared" si="31"/>
        <v>46151</v>
      </c>
    </row>
    <row r="214" spans="1:25" x14ac:dyDescent="0.25">
      <c r="A214" t="s">
        <v>436</v>
      </c>
      <c r="B214" t="s">
        <v>60</v>
      </c>
      <c r="C214" t="s">
        <v>49</v>
      </c>
      <c r="D214" t="s">
        <v>13</v>
      </c>
      <c r="E214" t="s">
        <v>30</v>
      </c>
      <c r="F214" s="1">
        <v>16</v>
      </c>
      <c r="G214" t="s">
        <v>437</v>
      </c>
      <c r="H214" t="s">
        <v>16</v>
      </c>
      <c r="I214" t="s">
        <v>36</v>
      </c>
      <c r="J214" t="s">
        <v>18</v>
      </c>
      <c r="K214" t="str">
        <f t="shared" si="24"/>
        <v>General Complaint</v>
      </c>
      <c r="L214" t="s">
        <v>883</v>
      </c>
      <c r="M214" t="str">
        <f t="shared" si="25"/>
        <v>General complaint reported</v>
      </c>
      <c r="N214">
        <v>2</v>
      </c>
      <c r="O214" t="s">
        <v>18</v>
      </c>
      <c r="P214">
        <f t="shared" si="26"/>
        <v>15</v>
      </c>
      <c r="Q214" t="str">
        <f t="shared" si="27"/>
        <v>Delayed</v>
      </c>
      <c r="R214" t="str">
        <f t="shared" si="28"/>
        <v>Off214</v>
      </c>
      <c r="S214">
        <v>8</v>
      </c>
      <c r="T214">
        <v>14</v>
      </c>
      <c r="U214">
        <v>46173</v>
      </c>
      <c r="V214">
        <v>44363</v>
      </c>
      <c r="W214" t="str">
        <f t="shared" si="29"/>
        <v>Yes</v>
      </c>
      <c r="X214" t="str">
        <f t="shared" si="30"/>
        <v>Level 1</v>
      </c>
      <c r="Y214" s="2">
        <f t="shared" si="31"/>
        <v>46016</v>
      </c>
    </row>
    <row r="215" spans="1:25" x14ac:dyDescent="0.25">
      <c r="A215" t="s">
        <v>438</v>
      </c>
      <c r="B215" t="s">
        <v>69</v>
      </c>
      <c r="C215" t="s">
        <v>84</v>
      </c>
      <c r="D215" t="s">
        <v>34</v>
      </c>
      <c r="E215" t="s">
        <v>23</v>
      </c>
      <c r="F215" s="1">
        <v>5</v>
      </c>
      <c r="G215" t="s">
        <v>439</v>
      </c>
      <c r="H215" t="s">
        <v>25</v>
      </c>
      <c r="I215" t="s">
        <v>36</v>
      </c>
      <c r="J215" t="s">
        <v>37</v>
      </c>
      <c r="K215" t="str">
        <f t="shared" si="24"/>
        <v>General Complaint</v>
      </c>
      <c r="L215" t="s">
        <v>884</v>
      </c>
      <c r="M215" t="str">
        <f t="shared" si="25"/>
        <v>General complaint reported</v>
      </c>
      <c r="N215">
        <v>4</v>
      </c>
      <c r="O215" t="s">
        <v>37</v>
      </c>
      <c r="P215">
        <f t="shared" si="26"/>
        <v>3</v>
      </c>
      <c r="Q215" t="str">
        <f t="shared" si="27"/>
        <v>Delayed</v>
      </c>
      <c r="R215" t="str">
        <f t="shared" si="28"/>
        <v>Off215</v>
      </c>
      <c r="S215">
        <v>3</v>
      </c>
      <c r="T215">
        <v>14</v>
      </c>
      <c r="U215">
        <v>47361</v>
      </c>
      <c r="V215">
        <v>45398</v>
      </c>
      <c r="W215" t="str">
        <f t="shared" si="29"/>
        <v>Yes</v>
      </c>
      <c r="X215" t="str">
        <f t="shared" si="30"/>
        <v>Level 3</v>
      </c>
      <c r="Y215" s="2">
        <f t="shared" si="31"/>
        <v>45820</v>
      </c>
    </row>
    <row r="216" spans="1:25" x14ac:dyDescent="0.25">
      <c r="A216" t="s">
        <v>440</v>
      </c>
      <c r="B216" t="s">
        <v>20</v>
      </c>
      <c r="C216" t="s">
        <v>49</v>
      </c>
      <c r="D216" t="s">
        <v>34</v>
      </c>
      <c r="E216" t="s">
        <v>30</v>
      </c>
      <c r="F216" s="1">
        <v>15</v>
      </c>
      <c r="G216" t="s">
        <v>441</v>
      </c>
      <c r="H216" t="s">
        <v>25</v>
      </c>
      <c r="I216" t="s">
        <v>36</v>
      </c>
      <c r="J216" t="s">
        <v>18</v>
      </c>
      <c r="K216" t="str">
        <f t="shared" si="24"/>
        <v>Garbage Collection</v>
      </c>
      <c r="L216" t="s">
        <v>885</v>
      </c>
      <c r="M216" t="str">
        <f t="shared" si="25"/>
        <v>Garbage not collected for 3 days</v>
      </c>
      <c r="N216">
        <v>1</v>
      </c>
      <c r="O216" t="s">
        <v>18</v>
      </c>
      <c r="P216">
        <f t="shared" si="26"/>
        <v>3</v>
      </c>
      <c r="Q216" t="str">
        <f t="shared" si="27"/>
        <v>Delayed</v>
      </c>
      <c r="R216" t="str">
        <f t="shared" si="28"/>
        <v>Off216</v>
      </c>
      <c r="S216">
        <v>11</v>
      </c>
      <c r="T216">
        <v>48</v>
      </c>
      <c r="U216">
        <v>22484</v>
      </c>
      <c r="V216">
        <v>21701</v>
      </c>
      <c r="W216" t="str">
        <f t="shared" si="29"/>
        <v>Yes</v>
      </c>
      <c r="X216" t="str">
        <f t="shared" si="30"/>
        <v>Level 3</v>
      </c>
      <c r="Y216" s="2">
        <f t="shared" si="31"/>
        <v>45778</v>
      </c>
    </row>
    <row r="217" spans="1:25" x14ac:dyDescent="0.25">
      <c r="A217" t="s">
        <v>442</v>
      </c>
      <c r="B217" t="s">
        <v>11</v>
      </c>
      <c r="C217" t="s">
        <v>21</v>
      </c>
      <c r="D217" t="s">
        <v>34</v>
      </c>
      <c r="E217" t="s">
        <v>23</v>
      </c>
      <c r="F217" s="1">
        <v>10</v>
      </c>
      <c r="G217" t="s">
        <v>443</v>
      </c>
      <c r="H217" t="s">
        <v>16</v>
      </c>
      <c r="I217" t="s">
        <v>17</v>
      </c>
      <c r="J217" t="s">
        <v>18</v>
      </c>
      <c r="K217" t="str">
        <f t="shared" si="24"/>
        <v>Water Leakage</v>
      </c>
      <c r="L217" t="s">
        <v>881</v>
      </c>
      <c r="M217" t="str">
        <f t="shared" si="25"/>
        <v>Water pipe leakage near school</v>
      </c>
      <c r="N217">
        <v>1</v>
      </c>
      <c r="O217" t="s">
        <v>18</v>
      </c>
      <c r="P217">
        <f t="shared" si="26"/>
        <v>3</v>
      </c>
      <c r="Q217" t="str">
        <f t="shared" si="27"/>
        <v>Delayed</v>
      </c>
      <c r="R217" t="str">
        <f t="shared" si="28"/>
        <v>Off217</v>
      </c>
      <c r="S217">
        <v>15</v>
      </c>
      <c r="T217">
        <v>34</v>
      </c>
      <c r="U217">
        <v>8597</v>
      </c>
      <c r="V217">
        <v>7618</v>
      </c>
      <c r="W217" t="str">
        <f t="shared" si="29"/>
        <v>Yes</v>
      </c>
      <c r="X217" t="str">
        <f t="shared" si="30"/>
        <v>Level 3</v>
      </c>
      <c r="Y217" s="2">
        <f t="shared" si="31"/>
        <v>45983</v>
      </c>
    </row>
    <row r="218" spans="1:25" x14ac:dyDescent="0.25">
      <c r="A218" t="s">
        <v>444</v>
      </c>
      <c r="B218" t="s">
        <v>60</v>
      </c>
      <c r="C218" t="s">
        <v>33</v>
      </c>
      <c r="D218" t="s">
        <v>13</v>
      </c>
      <c r="E218" t="s">
        <v>23</v>
      </c>
      <c r="F218" s="1">
        <v>27</v>
      </c>
      <c r="G218" t="s">
        <v>445</v>
      </c>
      <c r="H218" t="s">
        <v>51</v>
      </c>
      <c r="I218" t="s">
        <v>65</v>
      </c>
      <c r="J218" t="s">
        <v>18</v>
      </c>
      <c r="K218" t="str">
        <f t="shared" si="24"/>
        <v>General Complaint</v>
      </c>
      <c r="L218" t="s">
        <v>882</v>
      </c>
      <c r="M218" t="str">
        <f t="shared" si="25"/>
        <v>General complaint reported</v>
      </c>
      <c r="N218">
        <v>4</v>
      </c>
      <c r="O218" t="s">
        <v>37</v>
      </c>
      <c r="P218">
        <f t="shared" si="26"/>
        <v>15</v>
      </c>
      <c r="Q218" t="str">
        <f t="shared" si="27"/>
        <v>Delayed</v>
      </c>
      <c r="R218" t="str">
        <f t="shared" si="28"/>
        <v>Off218</v>
      </c>
      <c r="S218">
        <v>13</v>
      </c>
      <c r="T218">
        <v>15</v>
      </c>
      <c r="U218">
        <v>34286</v>
      </c>
      <c r="V218">
        <v>35884</v>
      </c>
      <c r="W218" t="str">
        <f t="shared" si="29"/>
        <v>Yes</v>
      </c>
      <c r="X218" t="str">
        <f t="shared" si="30"/>
        <v>Level 1</v>
      </c>
      <c r="Y218" s="2">
        <f t="shared" si="31"/>
        <v>45777</v>
      </c>
    </row>
    <row r="219" spans="1:25" x14ac:dyDescent="0.25">
      <c r="A219" t="s">
        <v>446</v>
      </c>
      <c r="B219" t="s">
        <v>53</v>
      </c>
      <c r="C219" t="s">
        <v>21</v>
      </c>
      <c r="D219" t="s">
        <v>13</v>
      </c>
      <c r="E219" t="s">
        <v>23</v>
      </c>
      <c r="F219" s="1">
        <v>19</v>
      </c>
      <c r="G219" t="s">
        <v>447</v>
      </c>
      <c r="H219" t="s">
        <v>58</v>
      </c>
      <c r="I219" t="s">
        <v>44</v>
      </c>
      <c r="J219" t="s">
        <v>18</v>
      </c>
      <c r="K219" t="str">
        <f t="shared" si="24"/>
        <v>Public Transport Delay</v>
      </c>
      <c r="L219" t="s">
        <v>883</v>
      </c>
      <c r="M219" t="str">
        <f t="shared" si="25"/>
        <v>Bus arrival delay reported</v>
      </c>
      <c r="N219">
        <v>2</v>
      </c>
      <c r="O219" t="s">
        <v>18</v>
      </c>
      <c r="P219">
        <f t="shared" si="26"/>
        <v>15</v>
      </c>
      <c r="Q219" t="str">
        <f t="shared" si="27"/>
        <v>Delayed</v>
      </c>
      <c r="R219" t="str">
        <f t="shared" si="28"/>
        <v>Off219</v>
      </c>
      <c r="S219">
        <v>8</v>
      </c>
      <c r="T219">
        <v>26</v>
      </c>
      <c r="U219">
        <v>34329</v>
      </c>
      <c r="V219">
        <v>32761</v>
      </c>
      <c r="W219" t="str">
        <f t="shared" si="29"/>
        <v>Yes</v>
      </c>
      <c r="X219" t="str">
        <f t="shared" si="30"/>
        <v>Level 1</v>
      </c>
      <c r="Y219" s="2">
        <f t="shared" si="31"/>
        <v>45789</v>
      </c>
    </row>
    <row r="220" spans="1:25" x14ac:dyDescent="0.25">
      <c r="A220" t="s">
        <v>448</v>
      </c>
      <c r="B220" t="s">
        <v>60</v>
      </c>
      <c r="C220" t="s">
        <v>29</v>
      </c>
      <c r="D220" t="s">
        <v>34</v>
      </c>
      <c r="E220" t="s">
        <v>42</v>
      </c>
      <c r="F220" s="1">
        <v>30</v>
      </c>
      <c r="G220" t="s">
        <v>138</v>
      </c>
      <c r="H220" t="s">
        <v>47</v>
      </c>
      <c r="I220" t="s">
        <v>65</v>
      </c>
      <c r="J220" t="s">
        <v>18</v>
      </c>
      <c r="K220" t="str">
        <f t="shared" si="24"/>
        <v>General Complaint</v>
      </c>
      <c r="L220" t="s">
        <v>884</v>
      </c>
      <c r="M220" t="str">
        <f t="shared" si="25"/>
        <v>General complaint reported</v>
      </c>
      <c r="N220">
        <v>3</v>
      </c>
      <c r="O220" t="s">
        <v>37</v>
      </c>
      <c r="P220">
        <f t="shared" si="26"/>
        <v>3</v>
      </c>
      <c r="Q220" t="str">
        <f t="shared" si="27"/>
        <v>Delayed</v>
      </c>
      <c r="R220" t="str">
        <f t="shared" si="28"/>
        <v>Off220</v>
      </c>
      <c r="S220">
        <v>15</v>
      </c>
      <c r="T220">
        <v>7</v>
      </c>
      <c r="U220">
        <v>18459</v>
      </c>
      <c r="V220">
        <v>16782</v>
      </c>
      <c r="W220" t="str">
        <f t="shared" si="29"/>
        <v>Yes</v>
      </c>
      <c r="X220" t="str">
        <f t="shared" si="30"/>
        <v>Level 3</v>
      </c>
      <c r="Y220" s="2">
        <f t="shared" si="31"/>
        <v>45736</v>
      </c>
    </row>
    <row r="221" spans="1:25" x14ac:dyDescent="0.25">
      <c r="A221" t="s">
        <v>449</v>
      </c>
      <c r="B221" t="s">
        <v>69</v>
      </c>
      <c r="C221" t="s">
        <v>39</v>
      </c>
      <c r="D221" t="s">
        <v>34</v>
      </c>
      <c r="E221" t="s">
        <v>23</v>
      </c>
      <c r="F221" s="1">
        <v>24</v>
      </c>
      <c r="G221" t="s">
        <v>450</v>
      </c>
      <c r="H221" t="s">
        <v>58</v>
      </c>
      <c r="I221" t="s">
        <v>65</v>
      </c>
      <c r="J221" t="s">
        <v>18</v>
      </c>
      <c r="K221" t="str">
        <f t="shared" si="24"/>
        <v>General Complaint</v>
      </c>
      <c r="L221" t="s">
        <v>885</v>
      </c>
      <c r="M221" t="str">
        <f t="shared" si="25"/>
        <v>General complaint reported</v>
      </c>
      <c r="N221">
        <v>1</v>
      </c>
      <c r="O221" t="s">
        <v>18</v>
      </c>
      <c r="P221">
        <f t="shared" si="26"/>
        <v>3</v>
      </c>
      <c r="Q221" t="str">
        <f t="shared" si="27"/>
        <v>Delayed</v>
      </c>
      <c r="R221" t="str">
        <f t="shared" si="28"/>
        <v>Off221</v>
      </c>
      <c r="S221">
        <v>2</v>
      </c>
      <c r="T221">
        <v>24</v>
      </c>
      <c r="U221">
        <v>10262</v>
      </c>
      <c r="V221">
        <v>11014</v>
      </c>
      <c r="W221" t="str">
        <f t="shared" si="29"/>
        <v>Yes</v>
      </c>
      <c r="X221" t="str">
        <f t="shared" si="30"/>
        <v>Level 3</v>
      </c>
      <c r="Y221" s="2">
        <f t="shared" si="31"/>
        <v>45906</v>
      </c>
    </row>
    <row r="222" spans="1:25" x14ac:dyDescent="0.25">
      <c r="A222" t="s">
        <v>451</v>
      </c>
      <c r="B222" t="s">
        <v>69</v>
      </c>
      <c r="C222" t="s">
        <v>12</v>
      </c>
      <c r="D222" t="s">
        <v>22</v>
      </c>
      <c r="E222" t="s">
        <v>14</v>
      </c>
      <c r="F222" s="1">
        <v>34</v>
      </c>
      <c r="G222" t="s">
        <v>452</v>
      </c>
      <c r="H222" t="s">
        <v>58</v>
      </c>
      <c r="I222" t="s">
        <v>26</v>
      </c>
      <c r="J222" t="s">
        <v>18</v>
      </c>
      <c r="K222" t="str">
        <f t="shared" si="24"/>
        <v>General Complaint</v>
      </c>
      <c r="L222" t="s">
        <v>881</v>
      </c>
      <c r="M222" t="str">
        <f t="shared" si="25"/>
        <v>General complaint reported</v>
      </c>
      <c r="N222">
        <v>5</v>
      </c>
      <c r="O222" t="s">
        <v>37</v>
      </c>
      <c r="P222">
        <f t="shared" si="26"/>
        <v>7</v>
      </c>
      <c r="Q222" t="str">
        <f t="shared" si="27"/>
        <v>Delayed</v>
      </c>
      <c r="R222" t="str">
        <f t="shared" si="28"/>
        <v>Off222</v>
      </c>
      <c r="S222">
        <v>11</v>
      </c>
      <c r="T222">
        <v>25</v>
      </c>
      <c r="U222">
        <v>4686</v>
      </c>
      <c r="V222">
        <v>3078</v>
      </c>
      <c r="W222" t="str">
        <f t="shared" si="29"/>
        <v>Yes</v>
      </c>
      <c r="X222" t="str">
        <f t="shared" si="30"/>
        <v>Level 2</v>
      </c>
      <c r="Y222" s="2">
        <f t="shared" si="31"/>
        <v>45756</v>
      </c>
    </row>
    <row r="223" spans="1:25" x14ac:dyDescent="0.25">
      <c r="A223" t="s">
        <v>453</v>
      </c>
      <c r="B223" t="s">
        <v>60</v>
      </c>
      <c r="C223" t="s">
        <v>56</v>
      </c>
      <c r="D223" t="s">
        <v>22</v>
      </c>
      <c r="E223" t="s">
        <v>42</v>
      </c>
      <c r="F223" s="1">
        <v>1</v>
      </c>
      <c r="G223" t="s">
        <v>454</v>
      </c>
      <c r="H223" t="s">
        <v>51</v>
      </c>
      <c r="I223" t="s">
        <v>44</v>
      </c>
      <c r="J223" t="s">
        <v>37</v>
      </c>
      <c r="K223" t="str">
        <f t="shared" si="24"/>
        <v>General Complaint</v>
      </c>
      <c r="L223" t="s">
        <v>882</v>
      </c>
      <c r="M223" t="str">
        <f t="shared" si="25"/>
        <v>General complaint reported</v>
      </c>
      <c r="N223">
        <v>1</v>
      </c>
      <c r="O223" t="s">
        <v>18</v>
      </c>
      <c r="P223">
        <f t="shared" si="26"/>
        <v>7</v>
      </c>
      <c r="Q223" t="str">
        <f t="shared" si="27"/>
        <v>Within SLA</v>
      </c>
      <c r="R223" t="str">
        <f t="shared" si="28"/>
        <v>Off223</v>
      </c>
      <c r="S223">
        <v>10</v>
      </c>
      <c r="T223">
        <v>47</v>
      </c>
      <c r="U223">
        <v>21292</v>
      </c>
      <c r="V223">
        <v>19977</v>
      </c>
      <c r="W223" t="str">
        <f t="shared" si="29"/>
        <v>No</v>
      </c>
      <c r="X223" t="str">
        <f t="shared" si="30"/>
        <v>None</v>
      </c>
      <c r="Y223" s="2">
        <f t="shared" si="31"/>
        <v>45981</v>
      </c>
    </row>
    <row r="224" spans="1:25" x14ac:dyDescent="0.25">
      <c r="A224" t="s">
        <v>455</v>
      </c>
      <c r="B224" t="s">
        <v>53</v>
      </c>
      <c r="C224" t="s">
        <v>76</v>
      </c>
      <c r="D224" t="s">
        <v>22</v>
      </c>
      <c r="E224" t="s">
        <v>14</v>
      </c>
      <c r="F224" s="1">
        <v>17</v>
      </c>
      <c r="G224" t="s">
        <v>456</v>
      </c>
      <c r="H224" t="s">
        <v>25</v>
      </c>
      <c r="I224" t="s">
        <v>44</v>
      </c>
      <c r="J224" t="s">
        <v>18</v>
      </c>
      <c r="K224" t="str">
        <f t="shared" si="24"/>
        <v>Public Transport Delay</v>
      </c>
      <c r="L224" t="s">
        <v>883</v>
      </c>
      <c r="M224" t="str">
        <f t="shared" si="25"/>
        <v>Bus arrival delay reported</v>
      </c>
      <c r="N224">
        <v>3</v>
      </c>
      <c r="O224" t="s">
        <v>37</v>
      </c>
      <c r="P224">
        <f t="shared" si="26"/>
        <v>7</v>
      </c>
      <c r="Q224" t="str">
        <f t="shared" si="27"/>
        <v>Delayed</v>
      </c>
      <c r="R224" t="str">
        <f t="shared" si="28"/>
        <v>Off224</v>
      </c>
      <c r="S224">
        <v>11</v>
      </c>
      <c r="T224">
        <v>49</v>
      </c>
      <c r="U224">
        <v>6022</v>
      </c>
      <c r="V224">
        <v>5045</v>
      </c>
      <c r="W224" t="str">
        <f t="shared" si="29"/>
        <v>Yes</v>
      </c>
      <c r="X224" t="str">
        <f t="shared" si="30"/>
        <v>Level 2</v>
      </c>
      <c r="Y224" s="2">
        <f t="shared" si="31"/>
        <v>46201</v>
      </c>
    </row>
    <row r="225" spans="1:25" x14ac:dyDescent="0.25">
      <c r="A225" t="s">
        <v>457</v>
      </c>
      <c r="B225" t="s">
        <v>11</v>
      </c>
      <c r="C225" t="s">
        <v>39</v>
      </c>
      <c r="D225" t="s">
        <v>22</v>
      </c>
      <c r="E225" t="s">
        <v>42</v>
      </c>
      <c r="F225" s="1">
        <v>30</v>
      </c>
      <c r="G225" t="s">
        <v>263</v>
      </c>
      <c r="H225" t="s">
        <v>58</v>
      </c>
      <c r="I225" t="s">
        <v>26</v>
      </c>
      <c r="J225" t="s">
        <v>18</v>
      </c>
      <c r="K225" t="str">
        <f t="shared" si="24"/>
        <v>Water Leakage</v>
      </c>
      <c r="L225" t="s">
        <v>884</v>
      </c>
      <c r="M225" t="str">
        <f t="shared" si="25"/>
        <v>Water pipe leakage near school</v>
      </c>
      <c r="N225">
        <v>2</v>
      </c>
      <c r="O225" t="s">
        <v>18</v>
      </c>
      <c r="P225">
        <f t="shared" si="26"/>
        <v>7</v>
      </c>
      <c r="Q225" t="str">
        <f t="shared" si="27"/>
        <v>Delayed</v>
      </c>
      <c r="R225" t="str">
        <f t="shared" si="28"/>
        <v>Off225</v>
      </c>
      <c r="S225">
        <v>9</v>
      </c>
      <c r="T225">
        <v>17</v>
      </c>
      <c r="U225">
        <v>44744</v>
      </c>
      <c r="V225">
        <v>42937</v>
      </c>
      <c r="W225" t="str">
        <f t="shared" si="29"/>
        <v>Yes</v>
      </c>
      <c r="X225" t="str">
        <f t="shared" si="30"/>
        <v>Level 2</v>
      </c>
      <c r="Y225" s="2">
        <f t="shared" si="31"/>
        <v>46041</v>
      </c>
    </row>
    <row r="226" spans="1:25" x14ac:dyDescent="0.25">
      <c r="A226" t="s">
        <v>458</v>
      </c>
      <c r="B226" t="s">
        <v>69</v>
      </c>
      <c r="C226" t="s">
        <v>21</v>
      </c>
      <c r="D226" t="s">
        <v>22</v>
      </c>
      <c r="E226" t="s">
        <v>42</v>
      </c>
      <c r="F226" s="1">
        <v>29</v>
      </c>
      <c r="G226" t="s">
        <v>401</v>
      </c>
      <c r="H226" t="s">
        <v>16</v>
      </c>
      <c r="I226" t="s">
        <v>26</v>
      </c>
      <c r="J226" t="s">
        <v>18</v>
      </c>
      <c r="K226" t="str">
        <f t="shared" si="24"/>
        <v>General Complaint</v>
      </c>
      <c r="L226" t="s">
        <v>885</v>
      </c>
      <c r="M226" t="str">
        <f t="shared" si="25"/>
        <v>General complaint reported</v>
      </c>
      <c r="N226">
        <v>3</v>
      </c>
      <c r="O226" t="s">
        <v>37</v>
      </c>
      <c r="P226">
        <f t="shared" si="26"/>
        <v>7</v>
      </c>
      <c r="Q226" t="str">
        <f t="shared" si="27"/>
        <v>Delayed</v>
      </c>
      <c r="R226" t="str">
        <f t="shared" si="28"/>
        <v>Off226</v>
      </c>
      <c r="S226">
        <v>12</v>
      </c>
      <c r="T226">
        <v>24</v>
      </c>
      <c r="U226">
        <v>9687</v>
      </c>
      <c r="V226">
        <v>8494</v>
      </c>
      <c r="W226" t="str">
        <f t="shared" si="29"/>
        <v>Yes</v>
      </c>
      <c r="X226" t="str">
        <f t="shared" si="30"/>
        <v>Level 2</v>
      </c>
      <c r="Y226" s="2">
        <f t="shared" si="31"/>
        <v>46072</v>
      </c>
    </row>
    <row r="227" spans="1:25" x14ac:dyDescent="0.25">
      <c r="A227" t="s">
        <v>459</v>
      </c>
      <c r="B227" t="s">
        <v>28</v>
      </c>
      <c r="C227" t="s">
        <v>61</v>
      </c>
      <c r="D227" t="s">
        <v>13</v>
      </c>
      <c r="E227" t="s">
        <v>42</v>
      </c>
      <c r="F227" s="1">
        <v>27</v>
      </c>
      <c r="G227" t="s">
        <v>349</v>
      </c>
      <c r="H227" t="s">
        <v>47</v>
      </c>
      <c r="I227" t="s">
        <v>36</v>
      </c>
      <c r="J227" t="s">
        <v>18</v>
      </c>
      <c r="K227" t="str">
        <f t="shared" si="24"/>
        <v>Road Damage</v>
      </c>
      <c r="L227" t="s">
        <v>881</v>
      </c>
      <c r="M227" t="str">
        <f t="shared" si="25"/>
        <v>Road damaged due to heavy rain</v>
      </c>
      <c r="N227">
        <v>3</v>
      </c>
      <c r="O227" t="s">
        <v>37</v>
      </c>
      <c r="P227">
        <f t="shared" si="26"/>
        <v>15</v>
      </c>
      <c r="Q227" t="str">
        <f t="shared" si="27"/>
        <v>Delayed</v>
      </c>
      <c r="R227" t="str">
        <f t="shared" si="28"/>
        <v>Off227</v>
      </c>
      <c r="S227">
        <v>4</v>
      </c>
      <c r="T227">
        <v>15</v>
      </c>
      <c r="U227">
        <v>34858</v>
      </c>
      <c r="V227">
        <v>34270</v>
      </c>
      <c r="W227" t="str">
        <f t="shared" si="29"/>
        <v>Yes</v>
      </c>
      <c r="X227" t="str">
        <f t="shared" si="30"/>
        <v>Level 1</v>
      </c>
      <c r="Y227" s="2">
        <f t="shared" si="31"/>
        <v>46165</v>
      </c>
    </row>
    <row r="228" spans="1:25" x14ac:dyDescent="0.25">
      <c r="A228" t="s">
        <v>460</v>
      </c>
      <c r="B228" t="s">
        <v>69</v>
      </c>
      <c r="C228" t="s">
        <v>29</v>
      </c>
      <c r="D228" t="s">
        <v>13</v>
      </c>
      <c r="E228" t="s">
        <v>42</v>
      </c>
      <c r="F228" s="1">
        <v>19</v>
      </c>
      <c r="G228" t="s">
        <v>461</v>
      </c>
      <c r="H228" t="s">
        <v>51</v>
      </c>
      <c r="I228" t="s">
        <v>44</v>
      </c>
      <c r="J228" t="s">
        <v>18</v>
      </c>
      <c r="K228" t="str">
        <f t="shared" si="24"/>
        <v>General Complaint</v>
      </c>
      <c r="L228" t="s">
        <v>882</v>
      </c>
      <c r="M228" t="str">
        <f t="shared" si="25"/>
        <v>General complaint reported</v>
      </c>
      <c r="N228">
        <v>3</v>
      </c>
      <c r="O228" t="s">
        <v>37</v>
      </c>
      <c r="P228">
        <f t="shared" si="26"/>
        <v>15</v>
      </c>
      <c r="Q228" t="str">
        <f t="shared" si="27"/>
        <v>Delayed</v>
      </c>
      <c r="R228" t="str">
        <f t="shared" si="28"/>
        <v>Off228</v>
      </c>
      <c r="S228">
        <v>11</v>
      </c>
      <c r="T228">
        <v>20</v>
      </c>
      <c r="U228">
        <v>19865</v>
      </c>
      <c r="V228">
        <v>19747</v>
      </c>
      <c r="W228" t="str">
        <f t="shared" si="29"/>
        <v>Yes</v>
      </c>
      <c r="X228" t="str">
        <f t="shared" si="30"/>
        <v>Level 1</v>
      </c>
      <c r="Y228" s="2">
        <f t="shared" si="31"/>
        <v>45713</v>
      </c>
    </row>
    <row r="229" spans="1:25" x14ac:dyDescent="0.25">
      <c r="A229" t="s">
        <v>462</v>
      </c>
      <c r="B229" t="s">
        <v>69</v>
      </c>
      <c r="C229" t="s">
        <v>12</v>
      </c>
      <c r="D229" t="s">
        <v>22</v>
      </c>
      <c r="E229" t="s">
        <v>30</v>
      </c>
      <c r="F229" s="1">
        <v>37</v>
      </c>
      <c r="G229" t="s">
        <v>351</v>
      </c>
      <c r="H229" t="s">
        <v>58</v>
      </c>
      <c r="I229" t="s">
        <v>36</v>
      </c>
      <c r="J229" t="s">
        <v>18</v>
      </c>
      <c r="K229" t="str">
        <f t="shared" si="24"/>
        <v>General Complaint</v>
      </c>
      <c r="L229" t="s">
        <v>883</v>
      </c>
      <c r="M229" t="str">
        <f t="shared" si="25"/>
        <v>General complaint reported</v>
      </c>
      <c r="N229">
        <v>4</v>
      </c>
      <c r="O229" t="s">
        <v>37</v>
      </c>
      <c r="P229">
        <f t="shared" si="26"/>
        <v>7</v>
      </c>
      <c r="Q229" t="str">
        <f t="shared" si="27"/>
        <v>Delayed</v>
      </c>
      <c r="R229" t="str">
        <f t="shared" si="28"/>
        <v>Off229</v>
      </c>
      <c r="S229">
        <v>2</v>
      </c>
      <c r="T229">
        <v>46</v>
      </c>
      <c r="U229">
        <v>18078</v>
      </c>
      <c r="V229">
        <v>16666</v>
      </c>
      <c r="W229" t="str">
        <f t="shared" si="29"/>
        <v>Yes</v>
      </c>
      <c r="X229" t="str">
        <f t="shared" si="30"/>
        <v>Level 2</v>
      </c>
      <c r="Y229" s="2">
        <f t="shared" si="31"/>
        <v>45706</v>
      </c>
    </row>
    <row r="230" spans="1:25" x14ac:dyDescent="0.25">
      <c r="A230" t="s">
        <v>463</v>
      </c>
      <c r="B230" t="s">
        <v>69</v>
      </c>
      <c r="C230" t="s">
        <v>12</v>
      </c>
      <c r="D230" t="s">
        <v>13</v>
      </c>
      <c r="E230" t="s">
        <v>42</v>
      </c>
      <c r="F230" s="1">
        <v>10</v>
      </c>
      <c r="G230" t="s">
        <v>303</v>
      </c>
      <c r="H230" t="s">
        <v>47</v>
      </c>
      <c r="I230" t="s">
        <v>26</v>
      </c>
      <c r="J230" t="s">
        <v>18</v>
      </c>
      <c r="K230" t="str">
        <f t="shared" si="24"/>
        <v>General Complaint</v>
      </c>
      <c r="L230" t="s">
        <v>884</v>
      </c>
      <c r="M230" t="str">
        <f t="shared" si="25"/>
        <v>General complaint reported</v>
      </c>
      <c r="N230">
        <v>3</v>
      </c>
      <c r="O230" t="s">
        <v>37</v>
      </c>
      <c r="P230">
        <f t="shared" si="26"/>
        <v>15</v>
      </c>
      <c r="Q230" t="str">
        <f t="shared" si="27"/>
        <v>Within SLA</v>
      </c>
      <c r="R230" t="str">
        <f t="shared" si="28"/>
        <v>Off230</v>
      </c>
      <c r="S230">
        <v>3</v>
      </c>
      <c r="T230">
        <v>18</v>
      </c>
      <c r="U230">
        <v>8313</v>
      </c>
      <c r="V230">
        <v>7811</v>
      </c>
      <c r="W230" t="str">
        <f t="shared" si="29"/>
        <v>No</v>
      </c>
      <c r="X230" t="str">
        <f t="shared" si="30"/>
        <v>None</v>
      </c>
      <c r="Y230" s="2">
        <f t="shared" si="31"/>
        <v>45957</v>
      </c>
    </row>
    <row r="231" spans="1:25" x14ac:dyDescent="0.25">
      <c r="A231" t="s">
        <v>464</v>
      </c>
      <c r="B231" t="s">
        <v>53</v>
      </c>
      <c r="C231" t="s">
        <v>33</v>
      </c>
      <c r="D231" t="s">
        <v>22</v>
      </c>
      <c r="E231" t="s">
        <v>30</v>
      </c>
      <c r="F231" s="1">
        <v>1</v>
      </c>
      <c r="G231" t="s">
        <v>426</v>
      </c>
      <c r="H231" t="s">
        <v>16</v>
      </c>
      <c r="I231" t="s">
        <v>26</v>
      </c>
      <c r="J231" t="s">
        <v>37</v>
      </c>
      <c r="K231" t="str">
        <f t="shared" si="24"/>
        <v>Public Transport Delay</v>
      </c>
      <c r="L231" t="s">
        <v>885</v>
      </c>
      <c r="M231" t="str">
        <f t="shared" si="25"/>
        <v>Bus arrival delay reported</v>
      </c>
      <c r="N231">
        <v>3</v>
      </c>
      <c r="O231" t="s">
        <v>37</v>
      </c>
      <c r="P231">
        <f t="shared" si="26"/>
        <v>7</v>
      </c>
      <c r="Q231" t="str">
        <f t="shared" si="27"/>
        <v>Within SLA</v>
      </c>
      <c r="R231" t="str">
        <f t="shared" si="28"/>
        <v>Off231</v>
      </c>
      <c r="S231">
        <v>15</v>
      </c>
      <c r="T231">
        <v>43</v>
      </c>
      <c r="U231">
        <v>33448</v>
      </c>
      <c r="V231">
        <v>34124</v>
      </c>
      <c r="W231" t="str">
        <f t="shared" si="29"/>
        <v>No</v>
      </c>
      <c r="X231" t="str">
        <f t="shared" si="30"/>
        <v>None</v>
      </c>
      <c r="Y231" s="2">
        <f t="shared" si="31"/>
        <v>46081</v>
      </c>
    </row>
    <row r="232" spans="1:25" x14ac:dyDescent="0.25">
      <c r="A232" t="s">
        <v>465</v>
      </c>
      <c r="B232" t="s">
        <v>53</v>
      </c>
      <c r="C232" t="s">
        <v>76</v>
      </c>
      <c r="D232" t="s">
        <v>22</v>
      </c>
      <c r="E232" t="s">
        <v>23</v>
      </c>
      <c r="F232" s="1">
        <v>26</v>
      </c>
      <c r="G232" t="s">
        <v>466</v>
      </c>
      <c r="H232" t="s">
        <v>47</v>
      </c>
      <c r="I232" t="s">
        <v>65</v>
      </c>
      <c r="J232" t="s">
        <v>18</v>
      </c>
      <c r="K232" t="str">
        <f t="shared" si="24"/>
        <v>Public Transport Delay</v>
      </c>
      <c r="L232" t="s">
        <v>881</v>
      </c>
      <c r="M232" t="str">
        <f t="shared" si="25"/>
        <v>Bus arrival delay reported</v>
      </c>
      <c r="N232">
        <v>5</v>
      </c>
      <c r="O232" t="s">
        <v>37</v>
      </c>
      <c r="P232">
        <f t="shared" si="26"/>
        <v>7</v>
      </c>
      <c r="Q232" t="str">
        <f t="shared" si="27"/>
        <v>Delayed</v>
      </c>
      <c r="R232" t="str">
        <f t="shared" si="28"/>
        <v>Off232</v>
      </c>
      <c r="S232">
        <v>6</v>
      </c>
      <c r="T232">
        <v>19</v>
      </c>
      <c r="U232">
        <v>39308</v>
      </c>
      <c r="V232">
        <v>37882</v>
      </c>
      <c r="W232" t="str">
        <f t="shared" si="29"/>
        <v>Yes</v>
      </c>
      <c r="X232" t="str">
        <f t="shared" si="30"/>
        <v>Level 2</v>
      </c>
      <c r="Y232" s="2">
        <f t="shared" si="31"/>
        <v>46180</v>
      </c>
    </row>
    <row r="233" spans="1:25" x14ac:dyDescent="0.25">
      <c r="A233" t="s">
        <v>467</v>
      </c>
      <c r="B233" t="s">
        <v>11</v>
      </c>
      <c r="C233" t="s">
        <v>84</v>
      </c>
      <c r="D233" t="s">
        <v>13</v>
      </c>
      <c r="E233" t="s">
        <v>23</v>
      </c>
      <c r="F233" s="1">
        <v>8</v>
      </c>
      <c r="G233" t="s">
        <v>468</v>
      </c>
      <c r="H233" t="s">
        <v>40</v>
      </c>
      <c r="I233" t="s">
        <v>44</v>
      </c>
      <c r="J233" t="s">
        <v>18</v>
      </c>
      <c r="K233" t="str">
        <f t="shared" si="24"/>
        <v>Water Leakage</v>
      </c>
      <c r="L233" t="s">
        <v>882</v>
      </c>
      <c r="M233" t="str">
        <f t="shared" si="25"/>
        <v>Water pipe leakage near school</v>
      </c>
      <c r="N233">
        <v>3</v>
      </c>
      <c r="O233" t="s">
        <v>37</v>
      </c>
      <c r="P233">
        <f t="shared" si="26"/>
        <v>15</v>
      </c>
      <c r="Q233" t="str">
        <f t="shared" si="27"/>
        <v>Within SLA</v>
      </c>
      <c r="R233" t="str">
        <f t="shared" si="28"/>
        <v>Off233</v>
      </c>
      <c r="S233">
        <v>11</v>
      </c>
      <c r="T233">
        <v>42</v>
      </c>
      <c r="U233">
        <v>23536</v>
      </c>
      <c r="V233">
        <v>24030</v>
      </c>
      <c r="W233" t="str">
        <f t="shared" si="29"/>
        <v>No</v>
      </c>
      <c r="X233" t="str">
        <f t="shared" si="30"/>
        <v>None</v>
      </c>
      <c r="Y233" s="2">
        <f t="shared" si="31"/>
        <v>45970</v>
      </c>
    </row>
    <row r="234" spans="1:25" x14ac:dyDescent="0.25">
      <c r="A234" t="s">
        <v>469</v>
      </c>
      <c r="B234" t="s">
        <v>11</v>
      </c>
      <c r="C234" t="s">
        <v>33</v>
      </c>
      <c r="D234" t="s">
        <v>34</v>
      </c>
      <c r="E234" t="s">
        <v>14</v>
      </c>
      <c r="F234" s="1">
        <v>37</v>
      </c>
      <c r="G234" t="s">
        <v>470</v>
      </c>
      <c r="H234" t="s">
        <v>25</v>
      </c>
      <c r="I234" t="s">
        <v>26</v>
      </c>
      <c r="J234" t="s">
        <v>18</v>
      </c>
      <c r="K234" t="str">
        <f t="shared" si="24"/>
        <v>Water Leakage</v>
      </c>
      <c r="L234" t="s">
        <v>883</v>
      </c>
      <c r="M234" t="str">
        <f t="shared" si="25"/>
        <v>Water pipe leakage near school</v>
      </c>
      <c r="N234">
        <v>1</v>
      </c>
      <c r="O234" t="s">
        <v>18</v>
      </c>
      <c r="P234">
        <f t="shared" si="26"/>
        <v>3</v>
      </c>
      <c r="Q234" t="str">
        <f t="shared" si="27"/>
        <v>Delayed</v>
      </c>
      <c r="R234" t="str">
        <f t="shared" si="28"/>
        <v>Off234</v>
      </c>
      <c r="S234">
        <v>3</v>
      </c>
      <c r="T234">
        <v>44</v>
      </c>
      <c r="U234">
        <v>31186</v>
      </c>
      <c r="V234">
        <v>29191</v>
      </c>
      <c r="W234" t="str">
        <f t="shared" si="29"/>
        <v>Yes</v>
      </c>
      <c r="X234" t="str">
        <f t="shared" si="30"/>
        <v>Level 3</v>
      </c>
      <c r="Y234" s="2">
        <f t="shared" si="31"/>
        <v>45719</v>
      </c>
    </row>
    <row r="235" spans="1:25" x14ac:dyDescent="0.25">
      <c r="A235" t="s">
        <v>471</v>
      </c>
      <c r="B235" t="s">
        <v>11</v>
      </c>
      <c r="C235" t="s">
        <v>84</v>
      </c>
      <c r="D235" t="s">
        <v>22</v>
      </c>
      <c r="E235" t="s">
        <v>30</v>
      </c>
      <c r="F235" s="1">
        <v>32</v>
      </c>
      <c r="G235" t="s">
        <v>472</v>
      </c>
      <c r="H235" t="s">
        <v>25</v>
      </c>
      <c r="I235" t="s">
        <v>26</v>
      </c>
      <c r="J235" t="s">
        <v>18</v>
      </c>
      <c r="K235" t="str">
        <f t="shared" si="24"/>
        <v>Water Leakage</v>
      </c>
      <c r="L235" t="s">
        <v>884</v>
      </c>
      <c r="M235" t="str">
        <f t="shared" si="25"/>
        <v>Water pipe leakage near school</v>
      </c>
      <c r="N235">
        <v>2</v>
      </c>
      <c r="O235" t="s">
        <v>18</v>
      </c>
      <c r="P235">
        <f t="shared" si="26"/>
        <v>7</v>
      </c>
      <c r="Q235" t="str">
        <f t="shared" si="27"/>
        <v>Delayed</v>
      </c>
      <c r="R235" t="str">
        <f t="shared" si="28"/>
        <v>Off235</v>
      </c>
      <c r="S235">
        <v>7</v>
      </c>
      <c r="T235">
        <v>15</v>
      </c>
      <c r="U235">
        <v>32160</v>
      </c>
      <c r="V235">
        <v>32712</v>
      </c>
      <c r="W235" t="str">
        <f t="shared" si="29"/>
        <v>Yes</v>
      </c>
      <c r="X235" t="str">
        <f t="shared" si="30"/>
        <v>Level 2</v>
      </c>
      <c r="Y235" s="2">
        <f t="shared" si="31"/>
        <v>45981</v>
      </c>
    </row>
    <row r="236" spans="1:25" x14ac:dyDescent="0.25">
      <c r="A236" t="s">
        <v>473</v>
      </c>
      <c r="B236" t="s">
        <v>53</v>
      </c>
      <c r="C236" t="s">
        <v>49</v>
      </c>
      <c r="D236" t="s">
        <v>22</v>
      </c>
      <c r="E236" t="s">
        <v>14</v>
      </c>
      <c r="F236" s="1">
        <v>4</v>
      </c>
      <c r="G236" t="s">
        <v>474</v>
      </c>
      <c r="H236" t="s">
        <v>16</v>
      </c>
      <c r="I236" t="s">
        <v>36</v>
      </c>
      <c r="J236" t="s">
        <v>37</v>
      </c>
      <c r="K236" t="str">
        <f t="shared" si="24"/>
        <v>Public Transport Delay</v>
      </c>
      <c r="L236" t="s">
        <v>885</v>
      </c>
      <c r="M236" t="str">
        <f t="shared" si="25"/>
        <v>Bus arrival delay reported</v>
      </c>
      <c r="N236">
        <v>4</v>
      </c>
      <c r="O236" t="s">
        <v>37</v>
      </c>
      <c r="P236">
        <f t="shared" si="26"/>
        <v>7</v>
      </c>
      <c r="Q236" t="str">
        <f t="shared" si="27"/>
        <v>Within SLA</v>
      </c>
      <c r="R236" t="str">
        <f t="shared" si="28"/>
        <v>Off236</v>
      </c>
      <c r="S236">
        <v>2</v>
      </c>
      <c r="T236">
        <v>40</v>
      </c>
      <c r="U236">
        <v>37450</v>
      </c>
      <c r="V236">
        <v>37510</v>
      </c>
      <c r="W236" t="str">
        <f t="shared" si="29"/>
        <v>No</v>
      </c>
      <c r="X236" t="str">
        <f t="shared" si="30"/>
        <v>None</v>
      </c>
      <c r="Y236" s="2">
        <f t="shared" si="31"/>
        <v>45811</v>
      </c>
    </row>
    <row r="237" spans="1:25" x14ac:dyDescent="0.25">
      <c r="A237" t="s">
        <v>475</v>
      </c>
      <c r="B237" t="s">
        <v>60</v>
      </c>
      <c r="C237" t="s">
        <v>29</v>
      </c>
      <c r="D237" t="s">
        <v>13</v>
      </c>
      <c r="E237" t="s">
        <v>23</v>
      </c>
      <c r="F237" s="1">
        <v>2</v>
      </c>
      <c r="G237" t="s">
        <v>35</v>
      </c>
      <c r="H237" t="s">
        <v>40</v>
      </c>
      <c r="I237" t="s">
        <v>65</v>
      </c>
      <c r="J237" t="s">
        <v>37</v>
      </c>
      <c r="K237" t="str">
        <f t="shared" si="24"/>
        <v>General Complaint</v>
      </c>
      <c r="L237" t="s">
        <v>881</v>
      </c>
      <c r="M237" t="str">
        <f t="shared" si="25"/>
        <v>General complaint reported</v>
      </c>
      <c r="N237">
        <v>2</v>
      </c>
      <c r="O237" t="s">
        <v>18</v>
      </c>
      <c r="P237">
        <f t="shared" si="26"/>
        <v>15</v>
      </c>
      <c r="Q237" t="str">
        <f t="shared" si="27"/>
        <v>Within SLA</v>
      </c>
      <c r="R237" t="str">
        <f t="shared" si="28"/>
        <v>Off237</v>
      </c>
      <c r="S237">
        <v>2</v>
      </c>
      <c r="T237">
        <v>27</v>
      </c>
      <c r="U237">
        <v>34447</v>
      </c>
      <c r="V237">
        <v>32589</v>
      </c>
      <c r="W237" t="str">
        <f t="shared" si="29"/>
        <v>No</v>
      </c>
      <c r="X237" t="str">
        <f t="shared" si="30"/>
        <v>None</v>
      </c>
      <c r="Y237" s="2">
        <f t="shared" si="31"/>
        <v>45946</v>
      </c>
    </row>
    <row r="238" spans="1:25" x14ac:dyDescent="0.25">
      <c r="A238" t="s">
        <v>476</v>
      </c>
      <c r="B238" t="s">
        <v>53</v>
      </c>
      <c r="C238" t="s">
        <v>56</v>
      </c>
      <c r="D238" t="s">
        <v>13</v>
      </c>
      <c r="E238" t="s">
        <v>30</v>
      </c>
      <c r="F238" s="1">
        <v>1</v>
      </c>
      <c r="G238" t="s">
        <v>239</v>
      </c>
      <c r="H238" t="s">
        <v>40</v>
      </c>
      <c r="I238" t="s">
        <v>44</v>
      </c>
      <c r="J238" t="s">
        <v>37</v>
      </c>
      <c r="K238" t="str">
        <f t="shared" si="24"/>
        <v>Public Transport Delay</v>
      </c>
      <c r="L238" t="s">
        <v>882</v>
      </c>
      <c r="M238" t="str">
        <f t="shared" si="25"/>
        <v>Bus arrival delay reported</v>
      </c>
      <c r="N238">
        <v>4</v>
      </c>
      <c r="O238" t="s">
        <v>37</v>
      </c>
      <c r="P238">
        <f t="shared" si="26"/>
        <v>15</v>
      </c>
      <c r="Q238" t="str">
        <f t="shared" si="27"/>
        <v>Within SLA</v>
      </c>
      <c r="R238" t="str">
        <f t="shared" si="28"/>
        <v>Off238</v>
      </c>
      <c r="S238">
        <v>4</v>
      </c>
      <c r="T238">
        <v>47</v>
      </c>
      <c r="U238">
        <v>48540</v>
      </c>
      <c r="V238">
        <v>48454</v>
      </c>
      <c r="W238" t="str">
        <f t="shared" si="29"/>
        <v>No</v>
      </c>
      <c r="X238" t="str">
        <f t="shared" si="30"/>
        <v>None</v>
      </c>
      <c r="Y238" s="2">
        <f t="shared" si="31"/>
        <v>45746</v>
      </c>
    </row>
    <row r="239" spans="1:25" x14ac:dyDescent="0.25">
      <c r="A239" t="s">
        <v>477</v>
      </c>
      <c r="B239" t="s">
        <v>11</v>
      </c>
      <c r="C239" t="s">
        <v>56</v>
      </c>
      <c r="D239" t="s">
        <v>34</v>
      </c>
      <c r="E239" t="s">
        <v>42</v>
      </c>
      <c r="F239" s="1">
        <v>21</v>
      </c>
      <c r="G239" t="s">
        <v>478</v>
      </c>
      <c r="H239" t="s">
        <v>16</v>
      </c>
      <c r="I239" t="s">
        <v>17</v>
      </c>
      <c r="J239" t="s">
        <v>18</v>
      </c>
      <c r="K239" t="str">
        <f t="shared" si="24"/>
        <v>Water Leakage</v>
      </c>
      <c r="L239" t="s">
        <v>883</v>
      </c>
      <c r="M239" t="str">
        <f t="shared" si="25"/>
        <v>Water pipe leakage near school</v>
      </c>
      <c r="N239">
        <v>3</v>
      </c>
      <c r="O239" t="s">
        <v>37</v>
      </c>
      <c r="P239">
        <f t="shared" si="26"/>
        <v>3</v>
      </c>
      <c r="Q239" t="str">
        <f t="shared" si="27"/>
        <v>Delayed</v>
      </c>
      <c r="R239" t="str">
        <f t="shared" si="28"/>
        <v>Off239</v>
      </c>
      <c r="S239">
        <v>12</v>
      </c>
      <c r="T239">
        <v>34</v>
      </c>
      <c r="U239">
        <v>3489</v>
      </c>
      <c r="V239">
        <v>3867</v>
      </c>
      <c r="W239" t="str">
        <f t="shared" si="29"/>
        <v>Yes</v>
      </c>
      <c r="X239" t="str">
        <f t="shared" si="30"/>
        <v>Level 3</v>
      </c>
      <c r="Y239" s="2">
        <f t="shared" si="31"/>
        <v>46035</v>
      </c>
    </row>
    <row r="240" spans="1:25" x14ac:dyDescent="0.25">
      <c r="A240" t="s">
        <v>479</v>
      </c>
      <c r="B240" t="s">
        <v>69</v>
      </c>
      <c r="C240" t="s">
        <v>49</v>
      </c>
      <c r="D240" t="s">
        <v>22</v>
      </c>
      <c r="E240" t="s">
        <v>30</v>
      </c>
      <c r="F240" s="1">
        <v>40</v>
      </c>
      <c r="G240" t="s">
        <v>213</v>
      </c>
      <c r="H240" t="s">
        <v>25</v>
      </c>
      <c r="I240" t="s">
        <v>44</v>
      </c>
      <c r="J240" t="s">
        <v>18</v>
      </c>
      <c r="K240" t="str">
        <f t="shared" si="24"/>
        <v>General Complaint</v>
      </c>
      <c r="L240" t="s">
        <v>884</v>
      </c>
      <c r="M240" t="str">
        <f t="shared" si="25"/>
        <v>General complaint reported</v>
      </c>
      <c r="N240">
        <v>1</v>
      </c>
      <c r="O240" t="s">
        <v>18</v>
      </c>
      <c r="P240">
        <f t="shared" si="26"/>
        <v>7</v>
      </c>
      <c r="Q240" t="str">
        <f t="shared" si="27"/>
        <v>Delayed</v>
      </c>
      <c r="R240" t="str">
        <f t="shared" si="28"/>
        <v>Off240</v>
      </c>
      <c r="S240">
        <v>9</v>
      </c>
      <c r="T240">
        <v>18</v>
      </c>
      <c r="U240">
        <v>31851</v>
      </c>
      <c r="V240">
        <v>29896</v>
      </c>
      <c r="W240" t="str">
        <f t="shared" si="29"/>
        <v>Yes</v>
      </c>
      <c r="X240" t="str">
        <f t="shared" si="30"/>
        <v>Level 2</v>
      </c>
      <c r="Y240" s="2">
        <f t="shared" si="31"/>
        <v>46119</v>
      </c>
    </row>
    <row r="241" spans="1:25" x14ac:dyDescent="0.25">
      <c r="A241" t="s">
        <v>480</v>
      </c>
      <c r="B241" t="s">
        <v>28</v>
      </c>
      <c r="C241" t="s">
        <v>39</v>
      </c>
      <c r="D241" t="s">
        <v>34</v>
      </c>
      <c r="E241" t="s">
        <v>14</v>
      </c>
      <c r="F241" s="1">
        <v>14</v>
      </c>
      <c r="G241" t="s">
        <v>481</v>
      </c>
      <c r="H241" t="s">
        <v>40</v>
      </c>
      <c r="I241" t="s">
        <v>65</v>
      </c>
      <c r="J241" t="s">
        <v>18</v>
      </c>
      <c r="K241" t="str">
        <f t="shared" si="24"/>
        <v>Road Damage</v>
      </c>
      <c r="L241" t="s">
        <v>885</v>
      </c>
      <c r="M241" t="str">
        <f t="shared" si="25"/>
        <v>Road damaged due to heavy rain</v>
      </c>
      <c r="N241">
        <v>1</v>
      </c>
      <c r="O241" t="s">
        <v>18</v>
      </c>
      <c r="P241">
        <f t="shared" si="26"/>
        <v>3</v>
      </c>
      <c r="Q241" t="str">
        <f t="shared" si="27"/>
        <v>Delayed</v>
      </c>
      <c r="R241" t="str">
        <f t="shared" si="28"/>
        <v>Off241</v>
      </c>
      <c r="S241">
        <v>4</v>
      </c>
      <c r="T241">
        <v>16</v>
      </c>
      <c r="U241">
        <v>48337</v>
      </c>
      <c r="V241">
        <v>48598</v>
      </c>
      <c r="W241" t="str">
        <f t="shared" si="29"/>
        <v>Yes</v>
      </c>
      <c r="X241" t="str">
        <f t="shared" si="30"/>
        <v>Level 3</v>
      </c>
      <c r="Y241" s="2">
        <f t="shared" si="31"/>
        <v>46095</v>
      </c>
    </row>
    <row r="242" spans="1:25" x14ac:dyDescent="0.25">
      <c r="A242" t="s">
        <v>482</v>
      </c>
      <c r="B242" t="s">
        <v>28</v>
      </c>
      <c r="C242" t="s">
        <v>49</v>
      </c>
      <c r="D242" t="s">
        <v>34</v>
      </c>
      <c r="E242" t="s">
        <v>23</v>
      </c>
      <c r="F242" s="1">
        <v>17</v>
      </c>
      <c r="G242" t="s">
        <v>271</v>
      </c>
      <c r="H242" t="s">
        <v>16</v>
      </c>
      <c r="I242" t="s">
        <v>36</v>
      </c>
      <c r="J242" t="s">
        <v>18</v>
      </c>
      <c r="K242" t="str">
        <f t="shared" si="24"/>
        <v>Road Damage</v>
      </c>
      <c r="L242" t="s">
        <v>881</v>
      </c>
      <c r="M242" t="str">
        <f t="shared" si="25"/>
        <v>Road damaged due to heavy rain</v>
      </c>
      <c r="N242">
        <v>2</v>
      </c>
      <c r="O242" t="s">
        <v>18</v>
      </c>
      <c r="P242">
        <f t="shared" si="26"/>
        <v>3</v>
      </c>
      <c r="Q242" t="str">
        <f t="shared" si="27"/>
        <v>Delayed</v>
      </c>
      <c r="R242" t="str">
        <f t="shared" si="28"/>
        <v>Off242</v>
      </c>
      <c r="S242">
        <v>5</v>
      </c>
      <c r="T242">
        <v>45</v>
      </c>
      <c r="U242">
        <v>10672</v>
      </c>
      <c r="V242">
        <v>11011</v>
      </c>
      <c r="W242" t="str">
        <f t="shared" si="29"/>
        <v>Yes</v>
      </c>
      <c r="X242" t="str">
        <f t="shared" si="30"/>
        <v>Level 3</v>
      </c>
      <c r="Y242" s="2">
        <f t="shared" si="31"/>
        <v>45859</v>
      </c>
    </row>
    <row r="243" spans="1:25" x14ac:dyDescent="0.25">
      <c r="A243" t="s">
        <v>483</v>
      </c>
      <c r="B243" t="s">
        <v>11</v>
      </c>
      <c r="C243" t="s">
        <v>84</v>
      </c>
      <c r="D243" t="s">
        <v>13</v>
      </c>
      <c r="E243" t="s">
        <v>14</v>
      </c>
      <c r="F243" s="1">
        <v>39</v>
      </c>
      <c r="G243" t="s">
        <v>24</v>
      </c>
      <c r="H243" t="s">
        <v>16</v>
      </c>
      <c r="I243" t="s">
        <v>36</v>
      </c>
      <c r="J243" t="s">
        <v>18</v>
      </c>
      <c r="K243" t="str">
        <f t="shared" si="24"/>
        <v>Water Leakage</v>
      </c>
      <c r="L243" t="s">
        <v>882</v>
      </c>
      <c r="M243" t="str">
        <f t="shared" si="25"/>
        <v>Water pipe leakage near school</v>
      </c>
      <c r="N243">
        <v>1</v>
      </c>
      <c r="O243" t="s">
        <v>18</v>
      </c>
      <c r="P243">
        <f t="shared" si="26"/>
        <v>15</v>
      </c>
      <c r="Q243" t="str">
        <f t="shared" si="27"/>
        <v>Delayed</v>
      </c>
      <c r="R243" t="str">
        <f t="shared" si="28"/>
        <v>Off243</v>
      </c>
      <c r="S243">
        <v>1</v>
      </c>
      <c r="T243">
        <v>27</v>
      </c>
      <c r="U243">
        <v>1906</v>
      </c>
      <c r="V243">
        <v>3614</v>
      </c>
      <c r="W243" t="str">
        <f t="shared" si="29"/>
        <v>Yes</v>
      </c>
      <c r="X243" t="str">
        <f t="shared" si="30"/>
        <v>Level 1</v>
      </c>
      <c r="Y243" s="2">
        <f t="shared" si="31"/>
        <v>45910</v>
      </c>
    </row>
    <row r="244" spans="1:25" x14ac:dyDescent="0.25">
      <c r="A244" t="s">
        <v>484</v>
      </c>
      <c r="B244" t="s">
        <v>53</v>
      </c>
      <c r="C244" t="s">
        <v>21</v>
      </c>
      <c r="D244" t="s">
        <v>34</v>
      </c>
      <c r="E244" t="s">
        <v>23</v>
      </c>
      <c r="F244" s="1">
        <v>15</v>
      </c>
      <c r="G244" t="s">
        <v>426</v>
      </c>
      <c r="H244" t="s">
        <v>40</v>
      </c>
      <c r="I244" t="s">
        <v>65</v>
      </c>
      <c r="J244" t="s">
        <v>18</v>
      </c>
      <c r="K244" t="str">
        <f t="shared" si="24"/>
        <v>Public Transport Delay</v>
      </c>
      <c r="L244" t="s">
        <v>883</v>
      </c>
      <c r="M244" t="str">
        <f t="shared" si="25"/>
        <v>Bus arrival delay reported</v>
      </c>
      <c r="N244">
        <v>5</v>
      </c>
      <c r="O244" t="s">
        <v>37</v>
      </c>
      <c r="P244">
        <f t="shared" si="26"/>
        <v>3</v>
      </c>
      <c r="Q244" t="str">
        <f t="shared" si="27"/>
        <v>Delayed</v>
      </c>
      <c r="R244" t="str">
        <f t="shared" si="28"/>
        <v>Off244</v>
      </c>
      <c r="S244">
        <v>11</v>
      </c>
      <c r="T244">
        <v>20</v>
      </c>
      <c r="U244">
        <v>24396</v>
      </c>
      <c r="V244">
        <v>22661</v>
      </c>
      <c r="W244" t="str">
        <f t="shared" si="29"/>
        <v>Yes</v>
      </c>
      <c r="X244" t="str">
        <f t="shared" si="30"/>
        <v>Level 3</v>
      </c>
      <c r="Y244" s="2">
        <f t="shared" si="31"/>
        <v>46095</v>
      </c>
    </row>
    <row r="245" spans="1:25" x14ac:dyDescent="0.25">
      <c r="A245" t="s">
        <v>485</v>
      </c>
      <c r="B245" t="s">
        <v>20</v>
      </c>
      <c r="C245" t="s">
        <v>56</v>
      </c>
      <c r="D245" t="s">
        <v>13</v>
      </c>
      <c r="E245" t="s">
        <v>14</v>
      </c>
      <c r="F245" s="1">
        <v>28</v>
      </c>
      <c r="G245" t="s">
        <v>486</v>
      </c>
      <c r="H245" t="s">
        <v>16</v>
      </c>
      <c r="I245" t="s">
        <v>65</v>
      </c>
      <c r="J245" t="s">
        <v>18</v>
      </c>
      <c r="K245" t="str">
        <f t="shared" si="24"/>
        <v>Garbage Collection</v>
      </c>
      <c r="L245" t="s">
        <v>884</v>
      </c>
      <c r="M245" t="str">
        <f t="shared" si="25"/>
        <v>Garbage not collected for 3 days</v>
      </c>
      <c r="N245">
        <v>5</v>
      </c>
      <c r="O245" t="s">
        <v>37</v>
      </c>
      <c r="P245">
        <f t="shared" si="26"/>
        <v>15</v>
      </c>
      <c r="Q245" t="str">
        <f t="shared" si="27"/>
        <v>Delayed</v>
      </c>
      <c r="R245" t="str">
        <f t="shared" si="28"/>
        <v>Off245</v>
      </c>
      <c r="S245">
        <v>11</v>
      </c>
      <c r="T245">
        <v>40</v>
      </c>
      <c r="U245">
        <v>27613</v>
      </c>
      <c r="V245">
        <v>26438</v>
      </c>
      <c r="W245" t="str">
        <f t="shared" si="29"/>
        <v>Yes</v>
      </c>
      <c r="X245" t="str">
        <f t="shared" si="30"/>
        <v>Level 1</v>
      </c>
      <c r="Y245" s="2">
        <f t="shared" si="31"/>
        <v>45905</v>
      </c>
    </row>
    <row r="246" spans="1:25" x14ac:dyDescent="0.25">
      <c r="A246" t="s">
        <v>487</v>
      </c>
      <c r="B246" t="s">
        <v>20</v>
      </c>
      <c r="C246" t="s">
        <v>76</v>
      </c>
      <c r="D246" t="s">
        <v>13</v>
      </c>
      <c r="E246" t="s">
        <v>30</v>
      </c>
      <c r="F246" s="1">
        <v>35</v>
      </c>
      <c r="G246" t="s">
        <v>488</v>
      </c>
      <c r="H246" t="s">
        <v>16</v>
      </c>
      <c r="I246" t="s">
        <v>65</v>
      </c>
      <c r="J246" t="s">
        <v>18</v>
      </c>
      <c r="K246" t="str">
        <f t="shared" si="24"/>
        <v>Garbage Collection</v>
      </c>
      <c r="L246" t="s">
        <v>885</v>
      </c>
      <c r="M246" t="str">
        <f t="shared" si="25"/>
        <v>Garbage not collected for 3 days</v>
      </c>
      <c r="N246">
        <v>4</v>
      </c>
      <c r="O246" t="s">
        <v>37</v>
      </c>
      <c r="P246">
        <f t="shared" si="26"/>
        <v>15</v>
      </c>
      <c r="Q246" t="str">
        <f t="shared" si="27"/>
        <v>Delayed</v>
      </c>
      <c r="R246" t="str">
        <f t="shared" si="28"/>
        <v>Off246</v>
      </c>
      <c r="S246">
        <v>1</v>
      </c>
      <c r="T246">
        <v>30</v>
      </c>
      <c r="U246">
        <v>43296</v>
      </c>
      <c r="V246">
        <v>43887</v>
      </c>
      <c r="W246" t="str">
        <f t="shared" si="29"/>
        <v>Yes</v>
      </c>
      <c r="X246" t="str">
        <f t="shared" si="30"/>
        <v>Level 1</v>
      </c>
      <c r="Y246" s="2">
        <f t="shared" si="31"/>
        <v>45970</v>
      </c>
    </row>
    <row r="247" spans="1:25" x14ac:dyDescent="0.25">
      <c r="A247" t="s">
        <v>489</v>
      </c>
      <c r="B247" t="s">
        <v>11</v>
      </c>
      <c r="C247" t="s">
        <v>12</v>
      </c>
      <c r="D247" t="s">
        <v>34</v>
      </c>
      <c r="E247" t="s">
        <v>14</v>
      </c>
      <c r="F247" s="1">
        <v>9</v>
      </c>
      <c r="G247" t="s">
        <v>490</v>
      </c>
      <c r="H247" t="s">
        <v>25</v>
      </c>
      <c r="I247" t="s">
        <v>17</v>
      </c>
      <c r="J247" t="s">
        <v>18</v>
      </c>
      <c r="K247" t="str">
        <f t="shared" si="24"/>
        <v>Water Leakage</v>
      </c>
      <c r="L247" t="s">
        <v>881</v>
      </c>
      <c r="M247" t="str">
        <f t="shared" si="25"/>
        <v>Water pipe leakage near school</v>
      </c>
      <c r="N247">
        <v>4</v>
      </c>
      <c r="O247" t="s">
        <v>37</v>
      </c>
      <c r="P247">
        <f t="shared" si="26"/>
        <v>3</v>
      </c>
      <c r="Q247" t="str">
        <f t="shared" si="27"/>
        <v>Delayed</v>
      </c>
      <c r="R247" t="str">
        <f t="shared" si="28"/>
        <v>Off247</v>
      </c>
      <c r="S247">
        <v>10</v>
      </c>
      <c r="T247">
        <v>5</v>
      </c>
      <c r="U247">
        <v>11585</v>
      </c>
      <c r="V247">
        <v>9811</v>
      </c>
      <c r="W247" t="str">
        <f t="shared" si="29"/>
        <v>Yes</v>
      </c>
      <c r="X247" t="str">
        <f t="shared" si="30"/>
        <v>Level 3</v>
      </c>
      <c r="Y247" s="2">
        <f t="shared" si="31"/>
        <v>45908</v>
      </c>
    </row>
    <row r="248" spans="1:25" x14ac:dyDescent="0.25">
      <c r="A248" t="s">
        <v>491</v>
      </c>
      <c r="B248" t="s">
        <v>53</v>
      </c>
      <c r="C248" t="s">
        <v>76</v>
      </c>
      <c r="D248" t="s">
        <v>34</v>
      </c>
      <c r="E248" t="s">
        <v>42</v>
      </c>
      <c r="F248" s="1">
        <v>22</v>
      </c>
      <c r="G248" t="s">
        <v>492</v>
      </c>
      <c r="H248" t="s">
        <v>25</v>
      </c>
      <c r="I248" t="s">
        <v>17</v>
      </c>
      <c r="J248" t="s">
        <v>18</v>
      </c>
      <c r="K248" t="str">
        <f t="shared" si="24"/>
        <v>Public Transport Delay</v>
      </c>
      <c r="L248" t="s">
        <v>882</v>
      </c>
      <c r="M248" t="str">
        <f t="shared" si="25"/>
        <v>Bus arrival delay reported</v>
      </c>
      <c r="N248">
        <v>4</v>
      </c>
      <c r="O248" t="s">
        <v>37</v>
      </c>
      <c r="P248">
        <f t="shared" si="26"/>
        <v>3</v>
      </c>
      <c r="Q248" t="str">
        <f t="shared" si="27"/>
        <v>Delayed</v>
      </c>
      <c r="R248" t="str">
        <f t="shared" si="28"/>
        <v>Off248</v>
      </c>
      <c r="S248">
        <v>4</v>
      </c>
      <c r="T248">
        <v>41</v>
      </c>
      <c r="U248">
        <v>23107</v>
      </c>
      <c r="V248">
        <v>22551</v>
      </c>
      <c r="W248" t="str">
        <f t="shared" si="29"/>
        <v>Yes</v>
      </c>
      <c r="X248" t="str">
        <f t="shared" si="30"/>
        <v>Level 3</v>
      </c>
      <c r="Y248" s="2">
        <f t="shared" si="31"/>
        <v>45827</v>
      </c>
    </row>
    <row r="249" spans="1:25" x14ac:dyDescent="0.25">
      <c r="A249" t="s">
        <v>493</v>
      </c>
      <c r="B249" t="s">
        <v>69</v>
      </c>
      <c r="C249" t="s">
        <v>21</v>
      </c>
      <c r="D249" t="s">
        <v>34</v>
      </c>
      <c r="E249" t="s">
        <v>42</v>
      </c>
      <c r="F249" s="1">
        <v>24</v>
      </c>
      <c r="G249" t="s">
        <v>494</v>
      </c>
      <c r="H249" t="s">
        <v>58</v>
      </c>
      <c r="I249" t="s">
        <v>44</v>
      </c>
      <c r="J249" t="s">
        <v>18</v>
      </c>
      <c r="K249" t="str">
        <f t="shared" si="24"/>
        <v>General Complaint</v>
      </c>
      <c r="L249" t="s">
        <v>883</v>
      </c>
      <c r="M249" t="str">
        <f t="shared" si="25"/>
        <v>General complaint reported</v>
      </c>
      <c r="N249">
        <v>2</v>
      </c>
      <c r="O249" t="s">
        <v>18</v>
      </c>
      <c r="P249">
        <f t="shared" si="26"/>
        <v>3</v>
      </c>
      <c r="Q249" t="str">
        <f t="shared" si="27"/>
        <v>Delayed</v>
      </c>
      <c r="R249" t="str">
        <f t="shared" si="28"/>
        <v>Off249</v>
      </c>
      <c r="S249">
        <v>14</v>
      </c>
      <c r="T249">
        <v>29</v>
      </c>
      <c r="U249">
        <v>5009</v>
      </c>
      <c r="V249">
        <v>5721</v>
      </c>
      <c r="W249" t="str">
        <f t="shared" si="29"/>
        <v>Yes</v>
      </c>
      <c r="X249" t="str">
        <f t="shared" si="30"/>
        <v>Level 3</v>
      </c>
      <c r="Y249" s="2">
        <f t="shared" si="31"/>
        <v>45873</v>
      </c>
    </row>
    <row r="250" spans="1:25" x14ac:dyDescent="0.25">
      <c r="A250" t="s">
        <v>495</v>
      </c>
      <c r="B250" t="s">
        <v>60</v>
      </c>
      <c r="C250" t="s">
        <v>84</v>
      </c>
      <c r="D250" t="s">
        <v>22</v>
      </c>
      <c r="E250" t="s">
        <v>23</v>
      </c>
      <c r="F250" s="1">
        <v>8</v>
      </c>
      <c r="G250" t="s">
        <v>496</v>
      </c>
      <c r="H250" t="s">
        <v>47</v>
      </c>
      <c r="I250" t="s">
        <v>26</v>
      </c>
      <c r="J250" t="s">
        <v>18</v>
      </c>
      <c r="K250" t="str">
        <f t="shared" si="24"/>
        <v>General Complaint</v>
      </c>
      <c r="L250" t="s">
        <v>884</v>
      </c>
      <c r="M250" t="str">
        <f t="shared" si="25"/>
        <v>General complaint reported</v>
      </c>
      <c r="N250">
        <v>4</v>
      </c>
      <c r="O250" t="s">
        <v>37</v>
      </c>
      <c r="P250">
        <f t="shared" si="26"/>
        <v>7</v>
      </c>
      <c r="Q250" t="str">
        <f t="shared" si="27"/>
        <v>Delayed</v>
      </c>
      <c r="R250" t="str">
        <f t="shared" si="28"/>
        <v>Off250</v>
      </c>
      <c r="S250">
        <v>9</v>
      </c>
      <c r="T250">
        <v>29</v>
      </c>
      <c r="U250">
        <v>10314</v>
      </c>
      <c r="V250">
        <v>10487</v>
      </c>
      <c r="W250" t="str">
        <f t="shared" si="29"/>
        <v>Yes</v>
      </c>
      <c r="X250" t="str">
        <f t="shared" si="30"/>
        <v>Level 2</v>
      </c>
      <c r="Y250" s="2">
        <f t="shared" si="31"/>
        <v>46190</v>
      </c>
    </row>
    <row r="251" spans="1:25" x14ac:dyDescent="0.25">
      <c r="A251" t="s">
        <v>497</v>
      </c>
      <c r="B251" t="s">
        <v>60</v>
      </c>
      <c r="C251" t="s">
        <v>33</v>
      </c>
      <c r="D251" t="s">
        <v>22</v>
      </c>
      <c r="E251" t="s">
        <v>23</v>
      </c>
      <c r="F251" s="1">
        <v>14</v>
      </c>
      <c r="G251" t="s">
        <v>498</v>
      </c>
      <c r="H251" t="s">
        <v>58</v>
      </c>
      <c r="I251" t="s">
        <v>17</v>
      </c>
      <c r="J251" t="s">
        <v>18</v>
      </c>
      <c r="K251" t="str">
        <f t="shared" si="24"/>
        <v>General Complaint</v>
      </c>
      <c r="L251" t="s">
        <v>885</v>
      </c>
      <c r="M251" t="str">
        <f t="shared" si="25"/>
        <v>General complaint reported</v>
      </c>
      <c r="N251">
        <v>2</v>
      </c>
      <c r="O251" t="s">
        <v>18</v>
      </c>
      <c r="P251">
        <f t="shared" si="26"/>
        <v>7</v>
      </c>
      <c r="Q251" t="str">
        <f t="shared" si="27"/>
        <v>Delayed</v>
      </c>
      <c r="R251" t="str">
        <f t="shared" si="28"/>
        <v>Off251</v>
      </c>
      <c r="S251">
        <v>8</v>
      </c>
      <c r="T251">
        <v>19</v>
      </c>
      <c r="U251">
        <v>47512</v>
      </c>
      <c r="V251">
        <v>47068</v>
      </c>
      <c r="W251" t="str">
        <f t="shared" si="29"/>
        <v>Yes</v>
      </c>
      <c r="X251" t="str">
        <f t="shared" si="30"/>
        <v>Level 2</v>
      </c>
      <c r="Y251" s="2">
        <f t="shared" si="31"/>
        <v>45948</v>
      </c>
    </row>
    <row r="252" spans="1:25" x14ac:dyDescent="0.25">
      <c r="A252" t="s">
        <v>499</v>
      </c>
      <c r="B252" t="s">
        <v>53</v>
      </c>
      <c r="C252" t="s">
        <v>56</v>
      </c>
      <c r="D252" t="s">
        <v>22</v>
      </c>
      <c r="E252" t="s">
        <v>42</v>
      </c>
      <c r="F252" s="1">
        <v>17</v>
      </c>
      <c r="G252" t="s">
        <v>435</v>
      </c>
      <c r="H252" t="s">
        <v>47</v>
      </c>
      <c r="I252" t="s">
        <v>26</v>
      </c>
      <c r="J252" t="s">
        <v>18</v>
      </c>
      <c r="K252" t="str">
        <f t="shared" si="24"/>
        <v>Public Transport Delay</v>
      </c>
      <c r="L252" t="s">
        <v>881</v>
      </c>
      <c r="M252" t="str">
        <f t="shared" si="25"/>
        <v>Bus arrival delay reported</v>
      </c>
      <c r="N252">
        <v>4</v>
      </c>
      <c r="O252" t="s">
        <v>37</v>
      </c>
      <c r="P252">
        <f t="shared" si="26"/>
        <v>7</v>
      </c>
      <c r="Q252" t="str">
        <f t="shared" si="27"/>
        <v>Delayed</v>
      </c>
      <c r="R252" t="str">
        <f t="shared" si="28"/>
        <v>Off252</v>
      </c>
      <c r="S252">
        <v>12</v>
      </c>
      <c r="T252">
        <v>17</v>
      </c>
      <c r="U252">
        <v>10257</v>
      </c>
      <c r="V252">
        <v>9801</v>
      </c>
      <c r="W252" t="str">
        <f t="shared" si="29"/>
        <v>Yes</v>
      </c>
      <c r="X252" t="str">
        <f t="shared" si="30"/>
        <v>Level 2</v>
      </c>
      <c r="Y252" s="2">
        <f t="shared" si="31"/>
        <v>46156</v>
      </c>
    </row>
    <row r="253" spans="1:25" x14ac:dyDescent="0.25">
      <c r="A253" t="s">
        <v>500</v>
      </c>
      <c r="B253" t="s">
        <v>53</v>
      </c>
      <c r="C253" t="s">
        <v>12</v>
      </c>
      <c r="D253" t="s">
        <v>34</v>
      </c>
      <c r="E253" t="s">
        <v>23</v>
      </c>
      <c r="F253" s="1">
        <v>8</v>
      </c>
      <c r="G253" t="s">
        <v>501</v>
      </c>
      <c r="H253" t="s">
        <v>47</v>
      </c>
      <c r="I253" t="s">
        <v>44</v>
      </c>
      <c r="J253" t="s">
        <v>18</v>
      </c>
      <c r="K253" t="str">
        <f t="shared" si="24"/>
        <v>Public Transport Delay</v>
      </c>
      <c r="L253" t="s">
        <v>882</v>
      </c>
      <c r="M253" t="str">
        <f t="shared" si="25"/>
        <v>Bus arrival delay reported</v>
      </c>
      <c r="N253">
        <v>3</v>
      </c>
      <c r="O253" t="s">
        <v>37</v>
      </c>
      <c r="P253">
        <f t="shared" si="26"/>
        <v>3</v>
      </c>
      <c r="Q253" t="str">
        <f t="shared" si="27"/>
        <v>Delayed</v>
      </c>
      <c r="R253" t="str">
        <f t="shared" si="28"/>
        <v>Off253</v>
      </c>
      <c r="S253">
        <v>13</v>
      </c>
      <c r="T253">
        <v>23</v>
      </c>
      <c r="U253">
        <v>38180</v>
      </c>
      <c r="V253">
        <v>37770</v>
      </c>
      <c r="W253" t="str">
        <f t="shared" si="29"/>
        <v>Yes</v>
      </c>
      <c r="X253" t="str">
        <f t="shared" si="30"/>
        <v>Level 3</v>
      </c>
      <c r="Y253" s="2">
        <f t="shared" si="31"/>
        <v>45684</v>
      </c>
    </row>
    <row r="254" spans="1:25" x14ac:dyDescent="0.25">
      <c r="A254" t="s">
        <v>502</v>
      </c>
      <c r="B254" t="s">
        <v>60</v>
      </c>
      <c r="C254" t="s">
        <v>33</v>
      </c>
      <c r="D254" t="s">
        <v>13</v>
      </c>
      <c r="E254" t="s">
        <v>23</v>
      </c>
      <c r="F254" s="1">
        <v>20</v>
      </c>
      <c r="G254" t="s">
        <v>95</v>
      </c>
      <c r="H254" t="s">
        <v>58</v>
      </c>
      <c r="I254" t="s">
        <v>65</v>
      </c>
      <c r="J254" t="s">
        <v>18</v>
      </c>
      <c r="K254" t="str">
        <f t="shared" si="24"/>
        <v>General Complaint</v>
      </c>
      <c r="L254" t="s">
        <v>883</v>
      </c>
      <c r="M254" t="str">
        <f t="shared" si="25"/>
        <v>General complaint reported</v>
      </c>
      <c r="N254">
        <v>4</v>
      </c>
      <c r="O254" t="s">
        <v>37</v>
      </c>
      <c r="P254">
        <f t="shared" si="26"/>
        <v>15</v>
      </c>
      <c r="Q254" t="str">
        <f t="shared" si="27"/>
        <v>Delayed</v>
      </c>
      <c r="R254" t="str">
        <f t="shared" si="28"/>
        <v>Off254</v>
      </c>
      <c r="S254">
        <v>11</v>
      </c>
      <c r="T254">
        <v>15</v>
      </c>
      <c r="U254">
        <v>49072</v>
      </c>
      <c r="V254">
        <v>49805</v>
      </c>
      <c r="W254" t="str">
        <f t="shared" si="29"/>
        <v>Yes</v>
      </c>
      <c r="X254" t="str">
        <f t="shared" si="30"/>
        <v>Level 1</v>
      </c>
      <c r="Y254" s="2">
        <f t="shared" si="31"/>
        <v>45685</v>
      </c>
    </row>
    <row r="255" spans="1:25" x14ac:dyDescent="0.25">
      <c r="A255" t="s">
        <v>503</v>
      </c>
      <c r="B255" t="s">
        <v>60</v>
      </c>
      <c r="C255" t="s">
        <v>76</v>
      </c>
      <c r="D255" t="s">
        <v>13</v>
      </c>
      <c r="E255" t="s">
        <v>42</v>
      </c>
      <c r="F255" s="1">
        <v>18</v>
      </c>
      <c r="G255" t="s">
        <v>504</v>
      </c>
      <c r="H255" t="s">
        <v>16</v>
      </c>
      <c r="I255" t="s">
        <v>65</v>
      </c>
      <c r="J255" t="s">
        <v>18</v>
      </c>
      <c r="K255" t="str">
        <f t="shared" si="24"/>
        <v>General Complaint</v>
      </c>
      <c r="L255" t="s">
        <v>884</v>
      </c>
      <c r="M255" t="str">
        <f t="shared" si="25"/>
        <v>General complaint reported</v>
      </c>
      <c r="N255">
        <v>5</v>
      </c>
      <c r="O255" t="s">
        <v>37</v>
      </c>
      <c r="P255">
        <f t="shared" si="26"/>
        <v>15</v>
      </c>
      <c r="Q255" t="str">
        <f t="shared" si="27"/>
        <v>Delayed</v>
      </c>
      <c r="R255" t="str">
        <f t="shared" si="28"/>
        <v>Off255</v>
      </c>
      <c r="S255">
        <v>11</v>
      </c>
      <c r="T255">
        <v>25</v>
      </c>
      <c r="U255">
        <v>14102</v>
      </c>
      <c r="V255">
        <v>14990</v>
      </c>
      <c r="W255" t="str">
        <f t="shared" si="29"/>
        <v>Yes</v>
      </c>
      <c r="X255" t="str">
        <f t="shared" si="30"/>
        <v>Level 1</v>
      </c>
      <c r="Y255" s="2">
        <f t="shared" si="31"/>
        <v>45921</v>
      </c>
    </row>
    <row r="256" spans="1:25" x14ac:dyDescent="0.25">
      <c r="A256" t="s">
        <v>505</v>
      </c>
      <c r="B256" t="s">
        <v>69</v>
      </c>
      <c r="C256" t="s">
        <v>12</v>
      </c>
      <c r="D256" t="s">
        <v>13</v>
      </c>
      <c r="E256" t="s">
        <v>23</v>
      </c>
      <c r="F256" s="1">
        <v>17</v>
      </c>
      <c r="G256" t="s">
        <v>506</v>
      </c>
      <c r="H256" t="s">
        <v>16</v>
      </c>
      <c r="I256" t="s">
        <v>36</v>
      </c>
      <c r="J256" t="s">
        <v>18</v>
      </c>
      <c r="K256" t="str">
        <f t="shared" si="24"/>
        <v>General Complaint</v>
      </c>
      <c r="L256" t="s">
        <v>885</v>
      </c>
      <c r="M256" t="str">
        <f t="shared" si="25"/>
        <v>General complaint reported</v>
      </c>
      <c r="N256">
        <v>1</v>
      </c>
      <c r="O256" t="s">
        <v>18</v>
      </c>
      <c r="P256">
        <f t="shared" si="26"/>
        <v>15</v>
      </c>
      <c r="Q256" t="str">
        <f t="shared" si="27"/>
        <v>Delayed</v>
      </c>
      <c r="R256" t="str">
        <f t="shared" si="28"/>
        <v>Off256</v>
      </c>
      <c r="S256">
        <v>11</v>
      </c>
      <c r="T256">
        <v>7</v>
      </c>
      <c r="U256">
        <v>16916</v>
      </c>
      <c r="V256">
        <v>17933</v>
      </c>
      <c r="W256" t="str">
        <f t="shared" si="29"/>
        <v>Yes</v>
      </c>
      <c r="X256" t="str">
        <f t="shared" si="30"/>
        <v>Level 1</v>
      </c>
      <c r="Y256" s="2">
        <f t="shared" si="31"/>
        <v>46029</v>
      </c>
    </row>
    <row r="257" spans="1:25" x14ac:dyDescent="0.25">
      <c r="A257" t="s">
        <v>507</v>
      </c>
      <c r="B257" t="s">
        <v>28</v>
      </c>
      <c r="C257" t="s">
        <v>84</v>
      </c>
      <c r="D257" t="s">
        <v>13</v>
      </c>
      <c r="E257" t="s">
        <v>42</v>
      </c>
      <c r="F257" s="1">
        <v>10</v>
      </c>
      <c r="G257" t="s">
        <v>470</v>
      </c>
      <c r="H257" t="s">
        <v>16</v>
      </c>
      <c r="I257" t="s">
        <v>17</v>
      </c>
      <c r="J257" t="s">
        <v>18</v>
      </c>
      <c r="K257" t="str">
        <f t="shared" si="24"/>
        <v>Road Damage</v>
      </c>
      <c r="L257" t="s">
        <v>881</v>
      </c>
      <c r="M257" t="str">
        <f t="shared" si="25"/>
        <v>Road damaged due to heavy rain</v>
      </c>
      <c r="N257">
        <v>1</v>
      </c>
      <c r="O257" t="s">
        <v>18</v>
      </c>
      <c r="P257">
        <f t="shared" si="26"/>
        <v>15</v>
      </c>
      <c r="Q257" t="str">
        <f t="shared" si="27"/>
        <v>Within SLA</v>
      </c>
      <c r="R257" t="str">
        <f t="shared" si="28"/>
        <v>Off257</v>
      </c>
      <c r="S257">
        <v>11</v>
      </c>
      <c r="T257">
        <v>34</v>
      </c>
      <c r="U257">
        <v>24767</v>
      </c>
      <c r="V257">
        <v>25651</v>
      </c>
      <c r="W257" t="str">
        <f t="shared" si="29"/>
        <v>No</v>
      </c>
      <c r="X257" t="str">
        <f t="shared" si="30"/>
        <v>None</v>
      </c>
      <c r="Y257" s="2">
        <f t="shared" si="31"/>
        <v>45692</v>
      </c>
    </row>
    <row r="258" spans="1:25" x14ac:dyDescent="0.25">
      <c r="A258" t="s">
        <v>508</v>
      </c>
      <c r="B258" t="s">
        <v>28</v>
      </c>
      <c r="C258" t="s">
        <v>84</v>
      </c>
      <c r="D258" t="s">
        <v>34</v>
      </c>
      <c r="E258" t="s">
        <v>14</v>
      </c>
      <c r="F258" s="1">
        <v>18</v>
      </c>
      <c r="G258" t="s">
        <v>509</v>
      </c>
      <c r="H258" t="s">
        <v>40</v>
      </c>
      <c r="I258" t="s">
        <v>36</v>
      </c>
      <c r="J258" t="s">
        <v>18</v>
      </c>
      <c r="K258" t="str">
        <f t="shared" si="24"/>
        <v>Road Damage</v>
      </c>
      <c r="L258" t="s">
        <v>882</v>
      </c>
      <c r="M258" t="str">
        <f t="shared" si="25"/>
        <v>Road damaged due to heavy rain</v>
      </c>
      <c r="N258">
        <v>2</v>
      </c>
      <c r="O258" t="s">
        <v>18</v>
      </c>
      <c r="P258">
        <f t="shared" si="26"/>
        <v>3</v>
      </c>
      <c r="Q258" t="str">
        <f t="shared" si="27"/>
        <v>Delayed</v>
      </c>
      <c r="R258" t="str">
        <f t="shared" si="28"/>
        <v>Off258</v>
      </c>
      <c r="S258">
        <v>4</v>
      </c>
      <c r="T258">
        <v>11</v>
      </c>
      <c r="U258">
        <v>3547</v>
      </c>
      <c r="V258">
        <v>2446</v>
      </c>
      <c r="W258" t="str">
        <f t="shared" si="29"/>
        <v>Yes</v>
      </c>
      <c r="X258" t="str">
        <f t="shared" si="30"/>
        <v>Level 3</v>
      </c>
      <c r="Y258" s="2">
        <f t="shared" si="31"/>
        <v>45864</v>
      </c>
    </row>
    <row r="259" spans="1:25" x14ac:dyDescent="0.25">
      <c r="A259" t="s">
        <v>510</v>
      </c>
      <c r="B259" t="s">
        <v>11</v>
      </c>
      <c r="C259" t="s">
        <v>39</v>
      </c>
      <c r="D259" t="s">
        <v>13</v>
      </c>
      <c r="E259" t="s">
        <v>23</v>
      </c>
      <c r="F259" s="1">
        <v>1</v>
      </c>
      <c r="G259" t="s">
        <v>511</v>
      </c>
      <c r="H259" t="s">
        <v>16</v>
      </c>
      <c r="I259" t="s">
        <v>65</v>
      </c>
      <c r="J259" t="s">
        <v>37</v>
      </c>
      <c r="K259" t="str">
        <f t="shared" ref="K259:K322" si="32">IF(B259="Water Supply","Water Leakage",
IF(B259="Roads","Road Damage",
IF(B259="Municipal Services","Garbage Collection",
IF(B259="Electricity","Street Light Failure",
IF(B259="Public Transport","Public Transport Delay","General Complaint")))))</f>
        <v>Water Leakage</v>
      </c>
      <c r="L259" t="s">
        <v>883</v>
      </c>
      <c r="M259" t="str">
        <f t="shared" ref="M259:M322" si="33">IF(K259="Water Leakage","Water pipe leakage near school",
IF(K259="Road Damage","Road damaged due to heavy rain",
IF(K259="Garbage Collection","Garbage not collected for 3 days",
IF(K259="Street Light Failure","Street light not working in residential area",
IF(K259="Public Transport Delay","Bus arrival delay reported",
"General complaint reported")))))</f>
        <v>Water pipe leakage near school</v>
      </c>
      <c r="N259">
        <v>4</v>
      </c>
      <c r="O259" t="s">
        <v>37</v>
      </c>
      <c r="P259">
        <f t="shared" ref="P259:P322" si="34">IF(D259="High",3,
IF(D259="Medium",7,15))</f>
        <v>15</v>
      </c>
      <c r="Q259" t="str">
        <f t="shared" ref="Q259:Q322" si="35">IF(F259&lt;=P259,"Within SLA","Delayed")</f>
        <v>Within SLA</v>
      </c>
      <c r="R259" t="str">
        <f t="shared" ref="R259:R322" si="36">"Off"&amp;TEXT(ROW(A259),"000")</f>
        <v>Off259</v>
      </c>
      <c r="S259">
        <v>12</v>
      </c>
      <c r="T259">
        <v>20</v>
      </c>
      <c r="U259">
        <v>42940</v>
      </c>
      <c r="V259">
        <v>43831</v>
      </c>
      <c r="W259" t="str">
        <f t="shared" ref="W259:W322" si="37">IF(F259&gt;P259,"Yes","No")</f>
        <v>No</v>
      </c>
      <c r="X259" t="str">
        <f t="shared" ref="X259:X322" si="38">IF(W259="No","None",
IF(D259="High","Level 3",
IF(D259="Medium","Level 2","Level 1")))</f>
        <v>None</v>
      </c>
      <c r="Y259" s="2">
        <f t="shared" ref="Y259:Y322" si="39">G259+F259</f>
        <v>46115</v>
      </c>
    </row>
    <row r="260" spans="1:25" x14ac:dyDescent="0.25">
      <c r="A260" t="s">
        <v>512</v>
      </c>
      <c r="B260" t="s">
        <v>11</v>
      </c>
      <c r="C260" t="s">
        <v>84</v>
      </c>
      <c r="D260" t="s">
        <v>13</v>
      </c>
      <c r="E260" t="s">
        <v>14</v>
      </c>
      <c r="F260" s="1">
        <v>31</v>
      </c>
      <c r="G260" t="s">
        <v>284</v>
      </c>
      <c r="H260" t="s">
        <v>47</v>
      </c>
      <c r="I260" t="s">
        <v>17</v>
      </c>
      <c r="J260" t="s">
        <v>18</v>
      </c>
      <c r="K260" t="str">
        <f t="shared" si="32"/>
        <v>Water Leakage</v>
      </c>
      <c r="L260" t="s">
        <v>884</v>
      </c>
      <c r="M260" t="str">
        <f t="shared" si="33"/>
        <v>Water pipe leakage near school</v>
      </c>
      <c r="N260">
        <v>4</v>
      </c>
      <c r="O260" t="s">
        <v>37</v>
      </c>
      <c r="P260">
        <f t="shared" si="34"/>
        <v>15</v>
      </c>
      <c r="Q260" t="str">
        <f t="shared" si="35"/>
        <v>Delayed</v>
      </c>
      <c r="R260" t="str">
        <f t="shared" si="36"/>
        <v>Off260</v>
      </c>
      <c r="S260">
        <v>1</v>
      </c>
      <c r="T260">
        <v>20</v>
      </c>
      <c r="U260">
        <v>15213</v>
      </c>
      <c r="V260">
        <v>16795</v>
      </c>
      <c r="W260" t="str">
        <f t="shared" si="37"/>
        <v>Yes</v>
      </c>
      <c r="X260" t="str">
        <f t="shared" si="38"/>
        <v>Level 1</v>
      </c>
      <c r="Y260" s="2">
        <f t="shared" si="39"/>
        <v>46107</v>
      </c>
    </row>
    <row r="261" spans="1:25" x14ac:dyDescent="0.25">
      <c r="A261" t="s">
        <v>513</v>
      </c>
      <c r="B261" t="s">
        <v>28</v>
      </c>
      <c r="C261" t="s">
        <v>56</v>
      </c>
      <c r="D261" t="s">
        <v>22</v>
      </c>
      <c r="E261" t="s">
        <v>30</v>
      </c>
      <c r="F261" s="1">
        <v>16</v>
      </c>
      <c r="G261" t="s">
        <v>241</v>
      </c>
      <c r="H261" t="s">
        <v>40</v>
      </c>
      <c r="I261" t="s">
        <v>17</v>
      </c>
      <c r="J261" t="s">
        <v>18</v>
      </c>
      <c r="K261" t="str">
        <f t="shared" si="32"/>
        <v>Road Damage</v>
      </c>
      <c r="L261" t="s">
        <v>885</v>
      </c>
      <c r="M261" t="str">
        <f t="shared" si="33"/>
        <v>Road damaged due to heavy rain</v>
      </c>
      <c r="N261">
        <v>5</v>
      </c>
      <c r="O261" t="s">
        <v>37</v>
      </c>
      <c r="P261">
        <f t="shared" si="34"/>
        <v>7</v>
      </c>
      <c r="Q261" t="str">
        <f t="shared" si="35"/>
        <v>Delayed</v>
      </c>
      <c r="R261" t="str">
        <f t="shared" si="36"/>
        <v>Off261</v>
      </c>
      <c r="S261">
        <v>13</v>
      </c>
      <c r="T261">
        <v>22</v>
      </c>
      <c r="U261">
        <v>20568</v>
      </c>
      <c r="V261">
        <v>18595</v>
      </c>
      <c r="W261" t="str">
        <f t="shared" si="37"/>
        <v>Yes</v>
      </c>
      <c r="X261" t="str">
        <f t="shared" si="38"/>
        <v>Level 2</v>
      </c>
      <c r="Y261" s="2">
        <f t="shared" si="39"/>
        <v>45998</v>
      </c>
    </row>
    <row r="262" spans="1:25" x14ac:dyDescent="0.25">
      <c r="A262" t="s">
        <v>514</v>
      </c>
      <c r="B262" t="s">
        <v>53</v>
      </c>
      <c r="C262" t="s">
        <v>61</v>
      </c>
      <c r="D262" t="s">
        <v>34</v>
      </c>
      <c r="E262" t="s">
        <v>42</v>
      </c>
      <c r="F262" s="1">
        <v>30</v>
      </c>
      <c r="G262" t="s">
        <v>450</v>
      </c>
      <c r="H262" t="s">
        <v>16</v>
      </c>
      <c r="I262" t="s">
        <v>26</v>
      </c>
      <c r="J262" t="s">
        <v>18</v>
      </c>
      <c r="K262" t="str">
        <f t="shared" si="32"/>
        <v>Public Transport Delay</v>
      </c>
      <c r="L262" t="s">
        <v>881</v>
      </c>
      <c r="M262" t="str">
        <f t="shared" si="33"/>
        <v>Bus arrival delay reported</v>
      </c>
      <c r="N262">
        <v>1</v>
      </c>
      <c r="O262" t="s">
        <v>18</v>
      </c>
      <c r="P262">
        <f t="shared" si="34"/>
        <v>3</v>
      </c>
      <c r="Q262" t="str">
        <f t="shared" si="35"/>
        <v>Delayed</v>
      </c>
      <c r="R262" t="str">
        <f t="shared" si="36"/>
        <v>Off262</v>
      </c>
      <c r="S262">
        <v>6</v>
      </c>
      <c r="T262">
        <v>17</v>
      </c>
      <c r="U262">
        <v>49847</v>
      </c>
      <c r="V262">
        <v>48077</v>
      </c>
      <c r="W262" t="str">
        <f t="shared" si="37"/>
        <v>Yes</v>
      </c>
      <c r="X262" t="str">
        <f t="shared" si="38"/>
        <v>Level 3</v>
      </c>
      <c r="Y262" s="2">
        <f t="shared" si="39"/>
        <v>45912</v>
      </c>
    </row>
    <row r="263" spans="1:25" x14ac:dyDescent="0.25">
      <c r="A263" t="s">
        <v>515</v>
      </c>
      <c r="B263" t="s">
        <v>20</v>
      </c>
      <c r="C263" t="s">
        <v>49</v>
      </c>
      <c r="D263" t="s">
        <v>22</v>
      </c>
      <c r="E263" t="s">
        <v>30</v>
      </c>
      <c r="F263" s="1">
        <v>3</v>
      </c>
      <c r="G263" t="s">
        <v>516</v>
      </c>
      <c r="H263" t="s">
        <v>47</v>
      </c>
      <c r="I263" t="s">
        <v>26</v>
      </c>
      <c r="J263" t="s">
        <v>37</v>
      </c>
      <c r="K263" t="str">
        <f t="shared" si="32"/>
        <v>Garbage Collection</v>
      </c>
      <c r="L263" t="s">
        <v>882</v>
      </c>
      <c r="M263" t="str">
        <f t="shared" si="33"/>
        <v>Garbage not collected for 3 days</v>
      </c>
      <c r="N263">
        <v>3</v>
      </c>
      <c r="O263" t="s">
        <v>37</v>
      </c>
      <c r="P263">
        <f t="shared" si="34"/>
        <v>7</v>
      </c>
      <c r="Q263" t="str">
        <f t="shared" si="35"/>
        <v>Within SLA</v>
      </c>
      <c r="R263" t="str">
        <f t="shared" si="36"/>
        <v>Off263</v>
      </c>
      <c r="S263">
        <v>7</v>
      </c>
      <c r="T263">
        <v>26</v>
      </c>
      <c r="U263">
        <v>10630</v>
      </c>
      <c r="V263">
        <v>12610</v>
      </c>
      <c r="W263" t="str">
        <f t="shared" si="37"/>
        <v>No</v>
      </c>
      <c r="X263" t="str">
        <f t="shared" si="38"/>
        <v>None</v>
      </c>
      <c r="Y263" s="2">
        <f t="shared" si="39"/>
        <v>46170</v>
      </c>
    </row>
    <row r="264" spans="1:25" x14ac:dyDescent="0.25">
      <c r="A264" t="s">
        <v>517</v>
      </c>
      <c r="B264" t="s">
        <v>20</v>
      </c>
      <c r="C264" t="s">
        <v>39</v>
      </c>
      <c r="D264" t="s">
        <v>34</v>
      </c>
      <c r="E264" t="s">
        <v>42</v>
      </c>
      <c r="F264" s="1">
        <v>18</v>
      </c>
      <c r="G264" t="s">
        <v>518</v>
      </c>
      <c r="H264" t="s">
        <v>25</v>
      </c>
      <c r="I264" t="s">
        <v>36</v>
      </c>
      <c r="J264" t="s">
        <v>18</v>
      </c>
      <c r="K264" t="str">
        <f t="shared" si="32"/>
        <v>Garbage Collection</v>
      </c>
      <c r="L264" t="s">
        <v>883</v>
      </c>
      <c r="M264" t="str">
        <f t="shared" si="33"/>
        <v>Garbage not collected for 3 days</v>
      </c>
      <c r="N264">
        <v>3</v>
      </c>
      <c r="O264" t="s">
        <v>37</v>
      </c>
      <c r="P264">
        <f t="shared" si="34"/>
        <v>3</v>
      </c>
      <c r="Q264" t="str">
        <f t="shared" si="35"/>
        <v>Delayed</v>
      </c>
      <c r="R264" t="str">
        <f t="shared" si="36"/>
        <v>Off264</v>
      </c>
      <c r="S264">
        <v>1</v>
      </c>
      <c r="T264">
        <v>49</v>
      </c>
      <c r="U264">
        <v>7843</v>
      </c>
      <c r="V264">
        <v>8557</v>
      </c>
      <c r="W264" t="str">
        <f t="shared" si="37"/>
        <v>Yes</v>
      </c>
      <c r="X264" t="str">
        <f t="shared" si="38"/>
        <v>Level 3</v>
      </c>
      <c r="Y264" s="2">
        <f t="shared" si="39"/>
        <v>45909</v>
      </c>
    </row>
    <row r="265" spans="1:25" x14ac:dyDescent="0.25">
      <c r="A265" t="s">
        <v>519</v>
      </c>
      <c r="B265" t="s">
        <v>60</v>
      </c>
      <c r="C265" t="s">
        <v>33</v>
      </c>
      <c r="D265" t="s">
        <v>22</v>
      </c>
      <c r="E265" t="s">
        <v>23</v>
      </c>
      <c r="F265" s="1">
        <v>11</v>
      </c>
      <c r="G265" t="s">
        <v>520</v>
      </c>
      <c r="H265" t="s">
        <v>16</v>
      </c>
      <c r="I265" t="s">
        <v>65</v>
      </c>
      <c r="J265" t="s">
        <v>18</v>
      </c>
      <c r="K265" t="str">
        <f t="shared" si="32"/>
        <v>General Complaint</v>
      </c>
      <c r="L265" t="s">
        <v>884</v>
      </c>
      <c r="M265" t="str">
        <f t="shared" si="33"/>
        <v>General complaint reported</v>
      </c>
      <c r="N265">
        <v>4</v>
      </c>
      <c r="O265" t="s">
        <v>37</v>
      </c>
      <c r="P265">
        <f t="shared" si="34"/>
        <v>7</v>
      </c>
      <c r="Q265" t="str">
        <f t="shared" si="35"/>
        <v>Delayed</v>
      </c>
      <c r="R265" t="str">
        <f t="shared" si="36"/>
        <v>Off265</v>
      </c>
      <c r="S265">
        <v>8</v>
      </c>
      <c r="T265">
        <v>42</v>
      </c>
      <c r="U265">
        <v>47559</v>
      </c>
      <c r="V265">
        <v>48516</v>
      </c>
      <c r="W265" t="str">
        <f t="shared" si="37"/>
        <v>Yes</v>
      </c>
      <c r="X265" t="str">
        <f t="shared" si="38"/>
        <v>Level 2</v>
      </c>
      <c r="Y265" s="2">
        <f t="shared" si="39"/>
        <v>45940</v>
      </c>
    </row>
    <row r="266" spans="1:25" x14ac:dyDescent="0.25">
      <c r="A266" t="s">
        <v>521</v>
      </c>
      <c r="B266" t="s">
        <v>11</v>
      </c>
      <c r="C266" t="s">
        <v>21</v>
      </c>
      <c r="D266" t="s">
        <v>22</v>
      </c>
      <c r="E266" t="s">
        <v>30</v>
      </c>
      <c r="F266" s="1">
        <v>39</v>
      </c>
      <c r="G266" t="s">
        <v>522</v>
      </c>
      <c r="H266" t="s">
        <v>47</v>
      </c>
      <c r="I266" t="s">
        <v>36</v>
      </c>
      <c r="J266" t="s">
        <v>18</v>
      </c>
      <c r="K266" t="str">
        <f t="shared" si="32"/>
        <v>Water Leakage</v>
      </c>
      <c r="L266" t="s">
        <v>885</v>
      </c>
      <c r="M266" t="str">
        <f t="shared" si="33"/>
        <v>Water pipe leakage near school</v>
      </c>
      <c r="N266">
        <v>4</v>
      </c>
      <c r="O266" t="s">
        <v>37</v>
      </c>
      <c r="P266">
        <f t="shared" si="34"/>
        <v>7</v>
      </c>
      <c r="Q266" t="str">
        <f t="shared" si="35"/>
        <v>Delayed</v>
      </c>
      <c r="R266" t="str">
        <f t="shared" si="36"/>
        <v>Off266</v>
      </c>
      <c r="S266">
        <v>3</v>
      </c>
      <c r="T266">
        <v>19</v>
      </c>
      <c r="U266">
        <v>5962</v>
      </c>
      <c r="V266">
        <v>6749</v>
      </c>
      <c r="W266" t="str">
        <f t="shared" si="37"/>
        <v>Yes</v>
      </c>
      <c r="X266" t="str">
        <f t="shared" si="38"/>
        <v>Level 2</v>
      </c>
      <c r="Y266" s="2">
        <f t="shared" si="39"/>
        <v>46125</v>
      </c>
    </row>
    <row r="267" spans="1:25" x14ac:dyDescent="0.25">
      <c r="A267" t="s">
        <v>523</v>
      </c>
      <c r="B267" t="s">
        <v>53</v>
      </c>
      <c r="C267" t="s">
        <v>56</v>
      </c>
      <c r="D267" t="s">
        <v>13</v>
      </c>
      <c r="E267" t="s">
        <v>23</v>
      </c>
      <c r="F267" s="1">
        <v>20</v>
      </c>
      <c r="G267" t="s">
        <v>439</v>
      </c>
      <c r="H267" t="s">
        <v>16</v>
      </c>
      <c r="I267" t="s">
        <v>44</v>
      </c>
      <c r="J267" t="s">
        <v>18</v>
      </c>
      <c r="K267" t="str">
        <f t="shared" si="32"/>
        <v>Public Transport Delay</v>
      </c>
      <c r="L267" t="s">
        <v>881</v>
      </c>
      <c r="M267" t="str">
        <f t="shared" si="33"/>
        <v>Bus arrival delay reported</v>
      </c>
      <c r="N267">
        <v>3</v>
      </c>
      <c r="O267" t="s">
        <v>37</v>
      </c>
      <c r="P267">
        <f t="shared" si="34"/>
        <v>15</v>
      </c>
      <c r="Q267" t="str">
        <f t="shared" si="35"/>
        <v>Delayed</v>
      </c>
      <c r="R267" t="str">
        <f t="shared" si="36"/>
        <v>Off267</v>
      </c>
      <c r="S267">
        <v>9</v>
      </c>
      <c r="T267">
        <v>35</v>
      </c>
      <c r="U267">
        <v>12433</v>
      </c>
      <c r="V267">
        <v>11244</v>
      </c>
      <c r="W267" t="str">
        <f t="shared" si="37"/>
        <v>Yes</v>
      </c>
      <c r="X267" t="str">
        <f t="shared" si="38"/>
        <v>Level 1</v>
      </c>
      <c r="Y267" s="2">
        <f t="shared" si="39"/>
        <v>45835</v>
      </c>
    </row>
    <row r="268" spans="1:25" x14ac:dyDescent="0.25">
      <c r="A268" t="s">
        <v>524</v>
      </c>
      <c r="B268" t="s">
        <v>28</v>
      </c>
      <c r="C268" t="s">
        <v>56</v>
      </c>
      <c r="D268" t="s">
        <v>34</v>
      </c>
      <c r="E268" t="s">
        <v>14</v>
      </c>
      <c r="F268" s="1">
        <v>25</v>
      </c>
      <c r="G268" t="s">
        <v>525</v>
      </c>
      <c r="H268" t="s">
        <v>16</v>
      </c>
      <c r="I268" t="s">
        <v>36</v>
      </c>
      <c r="J268" t="s">
        <v>18</v>
      </c>
      <c r="K268" t="str">
        <f t="shared" si="32"/>
        <v>Road Damage</v>
      </c>
      <c r="L268" t="s">
        <v>882</v>
      </c>
      <c r="M268" t="str">
        <f t="shared" si="33"/>
        <v>Road damaged due to heavy rain</v>
      </c>
      <c r="N268">
        <v>3</v>
      </c>
      <c r="O268" t="s">
        <v>37</v>
      </c>
      <c r="P268">
        <f t="shared" si="34"/>
        <v>3</v>
      </c>
      <c r="Q268" t="str">
        <f t="shared" si="35"/>
        <v>Delayed</v>
      </c>
      <c r="R268" t="str">
        <f t="shared" si="36"/>
        <v>Off268</v>
      </c>
      <c r="S268">
        <v>5</v>
      </c>
      <c r="T268">
        <v>50</v>
      </c>
      <c r="U268">
        <v>28662</v>
      </c>
      <c r="V268">
        <v>30601</v>
      </c>
      <c r="W268" t="str">
        <f t="shared" si="37"/>
        <v>Yes</v>
      </c>
      <c r="X268" t="str">
        <f t="shared" si="38"/>
        <v>Level 3</v>
      </c>
      <c r="Y268" s="2">
        <f t="shared" si="39"/>
        <v>45828</v>
      </c>
    </row>
    <row r="269" spans="1:25" x14ac:dyDescent="0.25">
      <c r="A269" t="s">
        <v>526</v>
      </c>
      <c r="B269" t="s">
        <v>53</v>
      </c>
      <c r="C269" t="s">
        <v>76</v>
      </c>
      <c r="D269" t="s">
        <v>34</v>
      </c>
      <c r="E269" t="s">
        <v>23</v>
      </c>
      <c r="F269" s="1">
        <v>17</v>
      </c>
      <c r="G269" t="s">
        <v>527</v>
      </c>
      <c r="H269" t="s">
        <v>51</v>
      </c>
      <c r="I269" t="s">
        <v>65</v>
      </c>
      <c r="J269" t="s">
        <v>18</v>
      </c>
      <c r="K269" t="str">
        <f t="shared" si="32"/>
        <v>Public Transport Delay</v>
      </c>
      <c r="L269" t="s">
        <v>883</v>
      </c>
      <c r="M269" t="str">
        <f t="shared" si="33"/>
        <v>Bus arrival delay reported</v>
      </c>
      <c r="N269">
        <v>3</v>
      </c>
      <c r="O269" t="s">
        <v>37</v>
      </c>
      <c r="P269">
        <f t="shared" si="34"/>
        <v>3</v>
      </c>
      <c r="Q269" t="str">
        <f t="shared" si="35"/>
        <v>Delayed</v>
      </c>
      <c r="R269" t="str">
        <f t="shared" si="36"/>
        <v>Off269</v>
      </c>
      <c r="S269">
        <v>10</v>
      </c>
      <c r="T269">
        <v>18</v>
      </c>
      <c r="U269">
        <v>39234</v>
      </c>
      <c r="V269">
        <v>38591</v>
      </c>
      <c r="W269" t="str">
        <f t="shared" si="37"/>
        <v>Yes</v>
      </c>
      <c r="X269" t="str">
        <f t="shared" si="38"/>
        <v>Level 3</v>
      </c>
      <c r="Y269" s="2">
        <f t="shared" si="39"/>
        <v>45847</v>
      </c>
    </row>
    <row r="270" spans="1:25" x14ac:dyDescent="0.25">
      <c r="A270" t="s">
        <v>528</v>
      </c>
      <c r="B270" t="s">
        <v>28</v>
      </c>
      <c r="C270" t="s">
        <v>39</v>
      </c>
      <c r="D270" t="s">
        <v>34</v>
      </c>
      <c r="E270" t="s">
        <v>23</v>
      </c>
      <c r="F270" s="1">
        <v>5</v>
      </c>
      <c r="G270" t="s">
        <v>529</v>
      </c>
      <c r="H270" t="s">
        <v>40</v>
      </c>
      <c r="I270" t="s">
        <v>65</v>
      </c>
      <c r="J270" t="s">
        <v>37</v>
      </c>
      <c r="K270" t="str">
        <f t="shared" si="32"/>
        <v>Road Damage</v>
      </c>
      <c r="L270" t="s">
        <v>884</v>
      </c>
      <c r="M270" t="str">
        <f t="shared" si="33"/>
        <v>Road damaged due to heavy rain</v>
      </c>
      <c r="N270">
        <v>1</v>
      </c>
      <c r="O270" t="s">
        <v>18</v>
      </c>
      <c r="P270">
        <f t="shared" si="34"/>
        <v>3</v>
      </c>
      <c r="Q270" t="str">
        <f t="shared" si="35"/>
        <v>Delayed</v>
      </c>
      <c r="R270" t="str">
        <f t="shared" si="36"/>
        <v>Off270</v>
      </c>
      <c r="S270">
        <v>4</v>
      </c>
      <c r="T270">
        <v>28</v>
      </c>
      <c r="U270">
        <v>4940</v>
      </c>
      <c r="V270">
        <v>5613</v>
      </c>
      <c r="W270" t="str">
        <f t="shared" si="37"/>
        <v>Yes</v>
      </c>
      <c r="X270" t="str">
        <f t="shared" si="38"/>
        <v>Level 3</v>
      </c>
      <c r="Y270" s="2">
        <f t="shared" si="39"/>
        <v>46090</v>
      </c>
    </row>
    <row r="271" spans="1:25" x14ac:dyDescent="0.25">
      <c r="A271" t="s">
        <v>530</v>
      </c>
      <c r="B271" t="s">
        <v>11</v>
      </c>
      <c r="C271" t="s">
        <v>56</v>
      </c>
      <c r="D271" t="s">
        <v>34</v>
      </c>
      <c r="E271" t="s">
        <v>14</v>
      </c>
      <c r="F271" s="1">
        <v>25</v>
      </c>
      <c r="G271" t="s">
        <v>531</v>
      </c>
      <c r="H271" t="s">
        <v>40</v>
      </c>
      <c r="I271" t="s">
        <v>17</v>
      </c>
      <c r="J271" t="s">
        <v>18</v>
      </c>
      <c r="K271" t="str">
        <f t="shared" si="32"/>
        <v>Water Leakage</v>
      </c>
      <c r="L271" t="s">
        <v>885</v>
      </c>
      <c r="M271" t="str">
        <f t="shared" si="33"/>
        <v>Water pipe leakage near school</v>
      </c>
      <c r="N271">
        <v>5</v>
      </c>
      <c r="O271" t="s">
        <v>37</v>
      </c>
      <c r="P271">
        <f t="shared" si="34"/>
        <v>3</v>
      </c>
      <c r="Q271" t="str">
        <f t="shared" si="35"/>
        <v>Delayed</v>
      </c>
      <c r="R271" t="str">
        <f t="shared" si="36"/>
        <v>Off271</v>
      </c>
      <c r="S271">
        <v>4</v>
      </c>
      <c r="T271">
        <v>22</v>
      </c>
      <c r="U271">
        <v>47614</v>
      </c>
      <c r="V271">
        <v>47114</v>
      </c>
      <c r="W271" t="str">
        <f t="shared" si="37"/>
        <v>Yes</v>
      </c>
      <c r="X271" t="str">
        <f t="shared" si="38"/>
        <v>Level 3</v>
      </c>
      <c r="Y271" s="2">
        <f t="shared" si="39"/>
        <v>46027</v>
      </c>
    </row>
    <row r="272" spans="1:25" x14ac:dyDescent="0.25">
      <c r="A272" t="s">
        <v>532</v>
      </c>
      <c r="B272" t="s">
        <v>11</v>
      </c>
      <c r="C272" t="s">
        <v>56</v>
      </c>
      <c r="D272" t="s">
        <v>13</v>
      </c>
      <c r="E272" t="s">
        <v>14</v>
      </c>
      <c r="F272" s="1">
        <v>11</v>
      </c>
      <c r="G272" t="s">
        <v>533</v>
      </c>
      <c r="H272" t="s">
        <v>25</v>
      </c>
      <c r="I272" t="s">
        <v>44</v>
      </c>
      <c r="J272" t="s">
        <v>18</v>
      </c>
      <c r="K272" t="str">
        <f t="shared" si="32"/>
        <v>Water Leakage</v>
      </c>
      <c r="L272" t="s">
        <v>881</v>
      </c>
      <c r="M272" t="str">
        <f t="shared" si="33"/>
        <v>Water pipe leakage near school</v>
      </c>
      <c r="N272">
        <v>3</v>
      </c>
      <c r="O272" t="s">
        <v>37</v>
      </c>
      <c r="P272">
        <f t="shared" si="34"/>
        <v>15</v>
      </c>
      <c r="Q272" t="str">
        <f t="shared" si="35"/>
        <v>Within SLA</v>
      </c>
      <c r="R272" t="str">
        <f t="shared" si="36"/>
        <v>Off272</v>
      </c>
      <c r="S272">
        <v>10</v>
      </c>
      <c r="T272">
        <v>28</v>
      </c>
      <c r="U272">
        <v>31462</v>
      </c>
      <c r="V272">
        <v>29730</v>
      </c>
      <c r="W272" t="str">
        <f t="shared" si="37"/>
        <v>No</v>
      </c>
      <c r="X272" t="str">
        <f t="shared" si="38"/>
        <v>None</v>
      </c>
      <c r="Y272" s="2">
        <f t="shared" si="39"/>
        <v>45894</v>
      </c>
    </row>
    <row r="273" spans="1:25" x14ac:dyDescent="0.25">
      <c r="A273" t="s">
        <v>534</v>
      </c>
      <c r="B273" t="s">
        <v>69</v>
      </c>
      <c r="C273" t="s">
        <v>21</v>
      </c>
      <c r="D273" t="s">
        <v>22</v>
      </c>
      <c r="E273" t="s">
        <v>14</v>
      </c>
      <c r="F273" s="1">
        <v>7</v>
      </c>
      <c r="G273" t="s">
        <v>288</v>
      </c>
      <c r="H273" t="s">
        <v>47</v>
      </c>
      <c r="I273" t="s">
        <v>44</v>
      </c>
      <c r="J273" t="s">
        <v>37</v>
      </c>
      <c r="K273" t="str">
        <f t="shared" si="32"/>
        <v>General Complaint</v>
      </c>
      <c r="L273" t="s">
        <v>882</v>
      </c>
      <c r="M273" t="str">
        <f t="shared" si="33"/>
        <v>General complaint reported</v>
      </c>
      <c r="N273">
        <v>1</v>
      </c>
      <c r="O273" t="s">
        <v>18</v>
      </c>
      <c r="P273">
        <f t="shared" si="34"/>
        <v>7</v>
      </c>
      <c r="Q273" t="str">
        <f t="shared" si="35"/>
        <v>Within SLA</v>
      </c>
      <c r="R273" t="str">
        <f t="shared" si="36"/>
        <v>Off273</v>
      </c>
      <c r="S273">
        <v>9</v>
      </c>
      <c r="T273">
        <v>32</v>
      </c>
      <c r="U273">
        <v>40762</v>
      </c>
      <c r="V273">
        <v>39662</v>
      </c>
      <c r="W273" t="str">
        <f t="shared" si="37"/>
        <v>No</v>
      </c>
      <c r="X273" t="str">
        <f t="shared" si="38"/>
        <v>None</v>
      </c>
      <c r="Y273" s="2">
        <f t="shared" si="39"/>
        <v>46176</v>
      </c>
    </row>
    <row r="274" spans="1:25" x14ac:dyDescent="0.25">
      <c r="A274" t="s">
        <v>535</v>
      </c>
      <c r="B274" t="s">
        <v>60</v>
      </c>
      <c r="C274" t="s">
        <v>12</v>
      </c>
      <c r="D274" t="s">
        <v>22</v>
      </c>
      <c r="E274" t="s">
        <v>14</v>
      </c>
      <c r="F274" s="1">
        <v>5</v>
      </c>
      <c r="G274" t="s">
        <v>536</v>
      </c>
      <c r="H274" t="s">
        <v>16</v>
      </c>
      <c r="I274" t="s">
        <v>44</v>
      </c>
      <c r="J274" t="s">
        <v>37</v>
      </c>
      <c r="K274" t="str">
        <f t="shared" si="32"/>
        <v>General Complaint</v>
      </c>
      <c r="L274" t="s">
        <v>883</v>
      </c>
      <c r="M274" t="str">
        <f t="shared" si="33"/>
        <v>General complaint reported</v>
      </c>
      <c r="N274">
        <v>4</v>
      </c>
      <c r="O274" t="s">
        <v>37</v>
      </c>
      <c r="P274">
        <f t="shared" si="34"/>
        <v>7</v>
      </c>
      <c r="Q274" t="str">
        <f t="shared" si="35"/>
        <v>Within SLA</v>
      </c>
      <c r="R274" t="str">
        <f t="shared" si="36"/>
        <v>Off274</v>
      </c>
      <c r="S274">
        <v>14</v>
      </c>
      <c r="T274">
        <v>15</v>
      </c>
      <c r="U274">
        <v>39770</v>
      </c>
      <c r="V274">
        <v>38126</v>
      </c>
      <c r="W274" t="str">
        <f t="shared" si="37"/>
        <v>No</v>
      </c>
      <c r="X274" t="str">
        <f t="shared" si="38"/>
        <v>None</v>
      </c>
      <c r="Y274" s="2">
        <f t="shared" si="39"/>
        <v>46082</v>
      </c>
    </row>
    <row r="275" spans="1:25" x14ac:dyDescent="0.25">
      <c r="A275" t="s">
        <v>537</v>
      </c>
      <c r="B275" t="s">
        <v>60</v>
      </c>
      <c r="C275" t="s">
        <v>12</v>
      </c>
      <c r="D275" t="s">
        <v>13</v>
      </c>
      <c r="E275" t="s">
        <v>42</v>
      </c>
      <c r="F275" s="1">
        <v>9</v>
      </c>
      <c r="G275" t="s">
        <v>522</v>
      </c>
      <c r="H275" t="s">
        <v>25</v>
      </c>
      <c r="I275" t="s">
        <v>26</v>
      </c>
      <c r="J275" t="s">
        <v>18</v>
      </c>
      <c r="K275" t="str">
        <f t="shared" si="32"/>
        <v>General Complaint</v>
      </c>
      <c r="L275" t="s">
        <v>884</v>
      </c>
      <c r="M275" t="str">
        <f t="shared" si="33"/>
        <v>General complaint reported</v>
      </c>
      <c r="N275">
        <v>1</v>
      </c>
      <c r="O275" t="s">
        <v>18</v>
      </c>
      <c r="P275">
        <f t="shared" si="34"/>
        <v>15</v>
      </c>
      <c r="Q275" t="str">
        <f t="shared" si="35"/>
        <v>Within SLA</v>
      </c>
      <c r="R275" t="str">
        <f t="shared" si="36"/>
        <v>Off275</v>
      </c>
      <c r="S275">
        <v>14</v>
      </c>
      <c r="T275">
        <v>28</v>
      </c>
      <c r="U275">
        <v>44467</v>
      </c>
      <c r="V275">
        <v>44185</v>
      </c>
      <c r="W275" t="str">
        <f t="shared" si="37"/>
        <v>No</v>
      </c>
      <c r="X275" t="str">
        <f t="shared" si="38"/>
        <v>None</v>
      </c>
      <c r="Y275" s="2">
        <f t="shared" si="39"/>
        <v>46095</v>
      </c>
    </row>
    <row r="276" spans="1:25" x14ac:dyDescent="0.25">
      <c r="A276" t="s">
        <v>538</v>
      </c>
      <c r="B276" t="s">
        <v>69</v>
      </c>
      <c r="C276" t="s">
        <v>33</v>
      </c>
      <c r="D276" t="s">
        <v>22</v>
      </c>
      <c r="E276" t="s">
        <v>42</v>
      </c>
      <c r="F276" s="1">
        <v>16</v>
      </c>
      <c r="G276" t="s">
        <v>539</v>
      </c>
      <c r="H276" t="s">
        <v>47</v>
      </c>
      <c r="I276" t="s">
        <v>17</v>
      </c>
      <c r="J276" t="s">
        <v>18</v>
      </c>
      <c r="K276" t="str">
        <f t="shared" si="32"/>
        <v>General Complaint</v>
      </c>
      <c r="L276" t="s">
        <v>885</v>
      </c>
      <c r="M276" t="str">
        <f t="shared" si="33"/>
        <v>General complaint reported</v>
      </c>
      <c r="N276">
        <v>2</v>
      </c>
      <c r="O276" t="s">
        <v>18</v>
      </c>
      <c r="P276">
        <f t="shared" si="34"/>
        <v>7</v>
      </c>
      <c r="Q276" t="str">
        <f t="shared" si="35"/>
        <v>Delayed</v>
      </c>
      <c r="R276" t="str">
        <f t="shared" si="36"/>
        <v>Off276</v>
      </c>
      <c r="S276">
        <v>15</v>
      </c>
      <c r="T276">
        <v>30</v>
      </c>
      <c r="U276">
        <v>23848</v>
      </c>
      <c r="V276">
        <v>22300</v>
      </c>
      <c r="W276" t="str">
        <f t="shared" si="37"/>
        <v>Yes</v>
      </c>
      <c r="X276" t="str">
        <f t="shared" si="38"/>
        <v>Level 2</v>
      </c>
      <c r="Y276" s="2">
        <f t="shared" si="39"/>
        <v>46073</v>
      </c>
    </row>
    <row r="277" spans="1:25" x14ac:dyDescent="0.25">
      <c r="A277" t="s">
        <v>540</v>
      </c>
      <c r="B277" t="s">
        <v>28</v>
      </c>
      <c r="C277" t="s">
        <v>56</v>
      </c>
      <c r="D277" t="s">
        <v>22</v>
      </c>
      <c r="E277" t="s">
        <v>42</v>
      </c>
      <c r="F277" s="1">
        <v>1</v>
      </c>
      <c r="G277" t="s">
        <v>504</v>
      </c>
      <c r="H277" t="s">
        <v>40</v>
      </c>
      <c r="I277" t="s">
        <v>26</v>
      </c>
      <c r="J277" t="s">
        <v>37</v>
      </c>
      <c r="K277" t="str">
        <f t="shared" si="32"/>
        <v>Road Damage</v>
      </c>
      <c r="L277" t="s">
        <v>881</v>
      </c>
      <c r="M277" t="str">
        <f t="shared" si="33"/>
        <v>Road damaged due to heavy rain</v>
      </c>
      <c r="N277">
        <v>2</v>
      </c>
      <c r="O277" t="s">
        <v>18</v>
      </c>
      <c r="P277">
        <f t="shared" si="34"/>
        <v>7</v>
      </c>
      <c r="Q277" t="str">
        <f t="shared" si="35"/>
        <v>Within SLA</v>
      </c>
      <c r="R277" t="str">
        <f t="shared" si="36"/>
        <v>Off277</v>
      </c>
      <c r="S277">
        <v>6</v>
      </c>
      <c r="T277">
        <v>35</v>
      </c>
      <c r="U277">
        <v>31019</v>
      </c>
      <c r="V277">
        <v>29558</v>
      </c>
      <c r="W277" t="str">
        <f t="shared" si="37"/>
        <v>No</v>
      </c>
      <c r="X277" t="str">
        <f t="shared" si="38"/>
        <v>None</v>
      </c>
      <c r="Y277" s="2">
        <f t="shared" si="39"/>
        <v>45904</v>
      </c>
    </row>
    <row r="278" spans="1:25" x14ac:dyDescent="0.25">
      <c r="A278" t="s">
        <v>541</v>
      </c>
      <c r="B278" t="s">
        <v>11</v>
      </c>
      <c r="C278" t="s">
        <v>39</v>
      </c>
      <c r="D278" t="s">
        <v>22</v>
      </c>
      <c r="E278" t="s">
        <v>30</v>
      </c>
      <c r="F278" s="1">
        <v>17</v>
      </c>
      <c r="G278" t="s">
        <v>542</v>
      </c>
      <c r="H278" t="s">
        <v>40</v>
      </c>
      <c r="I278" t="s">
        <v>36</v>
      </c>
      <c r="J278" t="s">
        <v>18</v>
      </c>
      <c r="K278" t="str">
        <f t="shared" si="32"/>
        <v>Water Leakage</v>
      </c>
      <c r="L278" t="s">
        <v>882</v>
      </c>
      <c r="M278" t="str">
        <f t="shared" si="33"/>
        <v>Water pipe leakage near school</v>
      </c>
      <c r="N278">
        <v>3</v>
      </c>
      <c r="O278" t="s">
        <v>37</v>
      </c>
      <c r="P278">
        <f t="shared" si="34"/>
        <v>7</v>
      </c>
      <c r="Q278" t="str">
        <f t="shared" si="35"/>
        <v>Delayed</v>
      </c>
      <c r="R278" t="str">
        <f t="shared" si="36"/>
        <v>Off278</v>
      </c>
      <c r="S278">
        <v>5</v>
      </c>
      <c r="T278">
        <v>6</v>
      </c>
      <c r="U278">
        <v>29240</v>
      </c>
      <c r="V278">
        <v>28940</v>
      </c>
      <c r="W278" t="str">
        <f t="shared" si="37"/>
        <v>Yes</v>
      </c>
      <c r="X278" t="str">
        <f t="shared" si="38"/>
        <v>Level 2</v>
      </c>
      <c r="Y278" s="2">
        <f t="shared" si="39"/>
        <v>45829</v>
      </c>
    </row>
    <row r="279" spans="1:25" x14ac:dyDescent="0.25">
      <c r="A279" t="s">
        <v>543</v>
      </c>
      <c r="B279" t="s">
        <v>60</v>
      </c>
      <c r="C279" t="s">
        <v>76</v>
      </c>
      <c r="D279" t="s">
        <v>22</v>
      </c>
      <c r="E279" t="s">
        <v>23</v>
      </c>
      <c r="F279" s="1">
        <v>23</v>
      </c>
      <c r="G279" t="s">
        <v>544</v>
      </c>
      <c r="H279" t="s">
        <v>16</v>
      </c>
      <c r="I279" t="s">
        <v>17</v>
      </c>
      <c r="J279" t="s">
        <v>18</v>
      </c>
      <c r="K279" t="str">
        <f t="shared" si="32"/>
        <v>General Complaint</v>
      </c>
      <c r="L279" t="s">
        <v>883</v>
      </c>
      <c r="M279" t="str">
        <f t="shared" si="33"/>
        <v>General complaint reported</v>
      </c>
      <c r="N279">
        <v>2</v>
      </c>
      <c r="O279" t="s">
        <v>18</v>
      </c>
      <c r="P279">
        <f t="shared" si="34"/>
        <v>7</v>
      </c>
      <c r="Q279" t="str">
        <f t="shared" si="35"/>
        <v>Delayed</v>
      </c>
      <c r="R279" t="str">
        <f t="shared" si="36"/>
        <v>Off279</v>
      </c>
      <c r="S279">
        <v>4</v>
      </c>
      <c r="T279">
        <v>39</v>
      </c>
      <c r="U279">
        <v>29839</v>
      </c>
      <c r="V279">
        <v>28732</v>
      </c>
      <c r="W279" t="str">
        <f t="shared" si="37"/>
        <v>Yes</v>
      </c>
      <c r="X279" t="str">
        <f t="shared" si="38"/>
        <v>Level 2</v>
      </c>
      <c r="Y279" s="2">
        <f t="shared" si="39"/>
        <v>45932</v>
      </c>
    </row>
    <row r="280" spans="1:25" x14ac:dyDescent="0.25">
      <c r="A280" t="s">
        <v>545</v>
      </c>
      <c r="B280" t="s">
        <v>20</v>
      </c>
      <c r="C280" t="s">
        <v>84</v>
      </c>
      <c r="D280" t="s">
        <v>13</v>
      </c>
      <c r="E280" t="s">
        <v>23</v>
      </c>
      <c r="F280" s="1">
        <v>25</v>
      </c>
      <c r="G280" t="s">
        <v>546</v>
      </c>
      <c r="H280" t="s">
        <v>16</v>
      </c>
      <c r="I280" t="s">
        <v>36</v>
      </c>
      <c r="J280" t="s">
        <v>18</v>
      </c>
      <c r="K280" t="str">
        <f t="shared" si="32"/>
        <v>Garbage Collection</v>
      </c>
      <c r="L280" t="s">
        <v>884</v>
      </c>
      <c r="M280" t="str">
        <f t="shared" si="33"/>
        <v>Garbage not collected for 3 days</v>
      </c>
      <c r="N280">
        <v>5</v>
      </c>
      <c r="O280" t="s">
        <v>37</v>
      </c>
      <c r="P280">
        <f t="shared" si="34"/>
        <v>15</v>
      </c>
      <c r="Q280" t="str">
        <f t="shared" si="35"/>
        <v>Delayed</v>
      </c>
      <c r="R280" t="str">
        <f t="shared" si="36"/>
        <v>Off280</v>
      </c>
      <c r="S280">
        <v>4</v>
      </c>
      <c r="T280">
        <v>16</v>
      </c>
      <c r="U280">
        <v>32484</v>
      </c>
      <c r="V280">
        <v>33547</v>
      </c>
      <c r="W280" t="str">
        <f t="shared" si="37"/>
        <v>Yes</v>
      </c>
      <c r="X280" t="str">
        <f t="shared" si="38"/>
        <v>Level 1</v>
      </c>
      <c r="Y280" s="2">
        <f t="shared" si="39"/>
        <v>45748</v>
      </c>
    </row>
    <row r="281" spans="1:25" x14ac:dyDescent="0.25">
      <c r="A281" t="s">
        <v>547</v>
      </c>
      <c r="B281" t="s">
        <v>60</v>
      </c>
      <c r="C281" t="s">
        <v>21</v>
      </c>
      <c r="D281" t="s">
        <v>22</v>
      </c>
      <c r="E281" t="s">
        <v>30</v>
      </c>
      <c r="F281" s="1">
        <v>19</v>
      </c>
      <c r="G281" t="s">
        <v>548</v>
      </c>
      <c r="H281" t="s">
        <v>51</v>
      </c>
      <c r="I281" t="s">
        <v>44</v>
      </c>
      <c r="J281" t="s">
        <v>18</v>
      </c>
      <c r="K281" t="str">
        <f t="shared" si="32"/>
        <v>General Complaint</v>
      </c>
      <c r="L281" t="s">
        <v>885</v>
      </c>
      <c r="M281" t="str">
        <f t="shared" si="33"/>
        <v>General complaint reported</v>
      </c>
      <c r="N281">
        <v>4</v>
      </c>
      <c r="O281" t="s">
        <v>37</v>
      </c>
      <c r="P281">
        <f t="shared" si="34"/>
        <v>7</v>
      </c>
      <c r="Q281" t="str">
        <f t="shared" si="35"/>
        <v>Delayed</v>
      </c>
      <c r="R281" t="str">
        <f t="shared" si="36"/>
        <v>Off281</v>
      </c>
      <c r="S281">
        <v>5</v>
      </c>
      <c r="T281">
        <v>33</v>
      </c>
      <c r="U281">
        <v>45167</v>
      </c>
      <c r="V281">
        <v>46808</v>
      </c>
      <c r="W281" t="str">
        <f t="shared" si="37"/>
        <v>Yes</v>
      </c>
      <c r="X281" t="str">
        <f t="shared" si="38"/>
        <v>Level 2</v>
      </c>
      <c r="Y281" s="2">
        <f t="shared" si="39"/>
        <v>46137</v>
      </c>
    </row>
    <row r="282" spans="1:25" x14ac:dyDescent="0.25">
      <c r="A282" t="s">
        <v>549</v>
      </c>
      <c r="B282" t="s">
        <v>60</v>
      </c>
      <c r="C282" t="s">
        <v>39</v>
      </c>
      <c r="D282" t="s">
        <v>13</v>
      </c>
      <c r="E282" t="s">
        <v>14</v>
      </c>
      <c r="F282" s="1">
        <v>31</v>
      </c>
      <c r="G282" t="s">
        <v>50</v>
      </c>
      <c r="H282" t="s">
        <v>58</v>
      </c>
      <c r="I282" t="s">
        <v>17</v>
      </c>
      <c r="J282" t="s">
        <v>18</v>
      </c>
      <c r="K282" t="str">
        <f t="shared" si="32"/>
        <v>General Complaint</v>
      </c>
      <c r="L282" t="s">
        <v>881</v>
      </c>
      <c r="M282" t="str">
        <f t="shared" si="33"/>
        <v>General complaint reported</v>
      </c>
      <c r="N282">
        <v>5</v>
      </c>
      <c r="O282" t="s">
        <v>37</v>
      </c>
      <c r="P282">
        <f t="shared" si="34"/>
        <v>15</v>
      </c>
      <c r="Q282" t="str">
        <f t="shared" si="35"/>
        <v>Delayed</v>
      </c>
      <c r="R282" t="str">
        <f t="shared" si="36"/>
        <v>Off282</v>
      </c>
      <c r="S282">
        <v>9</v>
      </c>
      <c r="T282">
        <v>17</v>
      </c>
      <c r="U282">
        <v>7868</v>
      </c>
      <c r="V282">
        <v>7762</v>
      </c>
      <c r="W282" t="str">
        <f t="shared" si="37"/>
        <v>Yes</v>
      </c>
      <c r="X282" t="str">
        <f t="shared" si="38"/>
        <v>Level 1</v>
      </c>
      <c r="Y282" s="2">
        <f t="shared" si="39"/>
        <v>45988</v>
      </c>
    </row>
    <row r="283" spans="1:25" x14ac:dyDescent="0.25">
      <c r="A283" t="s">
        <v>550</v>
      </c>
      <c r="B283" t="s">
        <v>28</v>
      </c>
      <c r="C283" t="s">
        <v>56</v>
      </c>
      <c r="D283" t="s">
        <v>34</v>
      </c>
      <c r="E283" t="s">
        <v>30</v>
      </c>
      <c r="F283" s="1">
        <v>26</v>
      </c>
      <c r="G283" t="s">
        <v>551</v>
      </c>
      <c r="H283" t="s">
        <v>25</v>
      </c>
      <c r="I283" t="s">
        <v>17</v>
      </c>
      <c r="J283" t="s">
        <v>18</v>
      </c>
      <c r="K283" t="str">
        <f t="shared" si="32"/>
        <v>Road Damage</v>
      </c>
      <c r="L283" t="s">
        <v>882</v>
      </c>
      <c r="M283" t="str">
        <f t="shared" si="33"/>
        <v>Road damaged due to heavy rain</v>
      </c>
      <c r="N283">
        <v>5</v>
      </c>
      <c r="O283" t="s">
        <v>37</v>
      </c>
      <c r="P283">
        <f t="shared" si="34"/>
        <v>3</v>
      </c>
      <c r="Q283" t="str">
        <f t="shared" si="35"/>
        <v>Delayed</v>
      </c>
      <c r="R283" t="str">
        <f t="shared" si="36"/>
        <v>Off283</v>
      </c>
      <c r="S283">
        <v>2</v>
      </c>
      <c r="T283">
        <v>50</v>
      </c>
      <c r="U283">
        <v>40640</v>
      </c>
      <c r="V283">
        <v>40466</v>
      </c>
      <c r="W283" t="str">
        <f t="shared" si="37"/>
        <v>Yes</v>
      </c>
      <c r="X283" t="str">
        <f t="shared" si="38"/>
        <v>Level 3</v>
      </c>
      <c r="Y283" s="2">
        <f t="shared" si="39"/>
        <v>45785</v>
      </c>
    </row>
    <row r="284" spans="1:25" x14ac:dyDescent="0.25">
      <c r="A284" t="s">
        <v>552</v>
      </c>
      <c r="B284" t="s">
        <v>28</v>
      </c>
      <c r="C284" t="s">
        <v>12</v>
      </c>
      <c r="D284" t="s">
        <v>22</v>
      </c>
      <c r="E284" t="s">
        <v>42</v>
      </c>
      <c r="F284" s="1">
        <v>6</v>
      </c>
      <c r="G284" t="s">
        <v>553</v>
      </c>
      <c r="H284" t="s">
        <v>47</v>
      </c>
      <c r="I284" t="s">
        <v>44</v>
      </c>
      <c r="J284" t="s">
        <v>37</v>
      </c>
      <c r="K284" t="str">
        <f t="shared" si="32"/>
        <v>Road Damage</v>
      </c>
      <c r="L284" t="s">
        <v>883</v>
      </c>
      <c r="M284" t="str">
        <f t="shared" si="33"/>
        <v>Road damaged due to heavy rain</v>
      </c>
      <c r="N284">
        <v>3</v>
      </c>
      <c r="O284" t="s">
        <v>37</v>
      </c>
      <c r="P284">
        <f t="shared" si="34"/>
        <v>7</v>
      </c>
      <c r="Q284" t="str">
        <f t="shared" si="35"/>
        <v>Within SLA</v>
      </c>
      <c r="R284" t="str">
        <f t="shared" si="36"/>
        <v>Off284</v>
      </c>
      <c r="S284">
        <v>9</v>
      </c>
      <c r="T284">
        <v>48</v>
      </c>
      <c r="U284">
        <v>24278</v>
      </c>
      <c r="V284">
        <v>23911</v>
      </c>
      <c r="W284" t="str">
        <f t="shared" si="37"/>
        <v>No</v>
      </c>
      <c r="X284" t="str">
        <f t="shared" si="38"/>
        <v>None</v>
      </c>
      <c r="Y284" s="2">
        <f t="shared" si="39"/>
        <v>45814</v>
      </c>
    </row>
    <row r="285" spans="1:25" x14ac:dyDescent="0.25">
      <c r="A285" t="s">
        <v>554</v>
      </c>
      <c r="B285" t="s">
        <v>28</v>
      </c>
      <c r="C285" t="s">
        <v>84</v>
      </c>
      <c r="D285" t="s">
        <v>34</v>
      </c>
      <c r="E285" t="s">
        <v>30</v>
      </c>
      <c r="F285" s="1">
        <v>8</v>
      </c>
      <c r="G285" t="s">
        <v>555</v>
      </c>
      <c r="H285" t="s">
        <v>58</v>
      </c>
      <c r="I285" t="s">
        <v>65</v>
      </c>
      <c r="J285" t="s">
        <v>18</v>
      </c>
      <c r="K285" t="str">
        <f t="shared" si="32"/>
        <v>Road Damage</v>
      </c>
      <c r="L285" t="s">
        <v>884</v>
      </c>
      <c r="M285" t="str">
        <f t="shared" si="33"/>
        <v>Road damaged due to heavy rain</v>
      </c>
      <c r="N285">
        <v>4</v>
      </c>
      <c r="O285" t="s">
        <v>37</v>
      </c>
      <c r="P285">
        <f t="shared" si="34"/>
        <v>3</v>
      </c>
      <c r="Q285" t="str">
        <f t="shared" si="35"/>
        <v>Delayed</v>
      </c>
      <c r="R285" t="str">
        <f t="shared" si="36"/>
        <v>Off285</v>
      </c>
      <c r="S285">
        <v>1</v>
      </c>
      <c r="T285">
        <v>50</v>
      </c>
      <c r="U285">
        <v>2171</v>
      </c>
      <c r="V285">
        <v>185</v>
      </c>
      <c r="W285" t="str">
        <f t="shared" si="37"/>
        <v>Yes</v>
      </c>
      <c r="X285" t="str">
        <f t="shared" si="38"/>
        <v>Level 3</v>
      </c>
      <c r="Y285" s="2">
        <f t="shared" si="39"/>
        <v>45712</v>
      </c>
    </row>
    <row r="286" spans="1:25" x14ac:dyDescent="0.25">
      <c r="A286" t="s">
        <v>556</v>
      </c>
      <c r="B286" t="s">
        <v>20</v>
      </c>
      <c r="C286" t="s">
        <v>84</v>
      </c>
      <c r="D286" t="s">
        <v>13</v>
      </c>
      <c r="E286" t="s">
        <v>14</v>
      </c>
      <c r="F286" s="1">
        <v>26</v>
      </c>
      <c r="G286" t="s">
        <v>343</v>
      </c>
      <c r="H286" t="s">
        <v>40</v>
      </c>
      <c r="I286" t="s">
        <v>26</v>
      </c>
      <c r="J286" t="s">
        <v>18</v>
      </c>
      <c r="K286" t="str">
        <f t="shared" si="32"/>
        <v>Garbage Collection</v>
      </c>
      <c r="L286" t="s">
        <v>885</v>
      </c>
      <c r="M286" t="str">
        <f t="shared" si="33"/>
        <v>Garbage not collected for 3 days</v>
      </c>
      <c r="N286">
        <v>4</v>
      </c>
      <c r="O286" t="s">
        <v>37</v>
      </c>
      <c r="P286">
        <f t="shared" si="34"/>
        <v>15</v>
      </c>
      <c r="Q286" t="str">
        <f t="shared" si="35"/>
        <v>Delayed</v>
      </c>
      <c r="R286" t="str">
        <f t="shared" si="36"/>
        <v>Off286</v>
      </c>
      <c r="S286">
        <v>12</v>
      </c>
      <c r="T286">
        <v>7</v>
      </c>
      <c r="U286">
        <v>43560</v>
      </c>
      <c r="V286">
        <v>45360</v>
      </c>
      <c r="W286" t="str">
        <f t="shared" si="37"/>
        <v>Yes</v>
      </c>
      <c r="X286" t="str">
        <f t="shared" si="38"/>
        <v>Level 1</v>
      </c>
      <c r="Y286" s="2">
        <f t="shared" si="39"/>
        <v>45699</v>
      </c>
    </row>
    <row r="287" spans="1:25" x14ac:dyDescent="0.25">
      <c r="A287" t="s">
        <v>557</v>
      </c>
      <c r="B287" t="s">
        <v>20</v>
      </c>
      <c r="C287" t="s">
        <v>56</v>
      </c>
      <c r="D287" t="s">
        <v>34</v>
      </c>
      <c r="E287" t="s">
        <v>42</v>
      </c>
      <c r="F287" s="1">
        <v>8</v>
      </c>
      <c r="G287" t="s">
        <v>558</v>
      </c>
      <c r="H287" t="s">
        <v>16</v>
      </c>
      <c r="I287" t="s">
        <v>44</v>
      </c>
      <c r="J287" t="s">
        <v>18</v>
      </c>
      <c r="K287" t="str">
        <f t="shared" si="32"/>
        <v>Garbage Collection</v>
      </c>
      <c r="L287" t="s">
        <v>881</v>
      </c>
      <c r="M287" t="str">
        <f t="shared" si="33"/>
        <v>Garbage not collected for 3 days</v>
      </c>
      <c r="N287">
        <v>3</v>
      </c>
      <c r="O287" t="s">
        <v>37</v>
      </c>
      <c r="P287">
        <f t="shared" si="34"/>
        <v>3</v>
      </c>
      <c r="Q287" t="str">
        <f t="shared" si="35"/>
        <v>Delayed</v>
      </c>
      <c r="R287" t="str">
        <f t="shared" si="36"/>
        <v>Off287</v>
      </c>
      <c r="S287">
        <v>1</v>
      </c>
      <c r="T287">
        <v>35</v>
      </c>
      <c r="U287">
        <v>49042</v>
      </c>
      <c r="V287">
        <v>47344</v>
      </c>
      <c r="W287" t="str">
        <f t="shared" si="37"/>
        <v>Yes</v>
      </c>
      <c r="X287" t="str">
        <f t="shared" si="38"/>
        <v>Level 3</v>
      </c>
      <c r="Y287" s="2">
        <f t="shared" si="39"/>
        <v>45935</v>
      </c>
    </row>
    <row r="288" spans="1:25" x14ac:dyDescent="0.25">
      <c r="A288" t="s">
        <v>559</v>
      </c>
      <c r="B288" t="s">
        <v>11</v>
      </c>
      <c r="C288" t="s">
        <v>12</v>
      </c>
      <c r="D288" t="s">
        <v>22</v>
      </c>
      <c r="E288" t="s">
        <v>30</v>
      </c>
      <c r="F288" s="1">
        <v>15</v>
      </c>
      <c r="G288" t="s">
        <v>560</v>
      </c>
      <c r="H288" t="s">
        <v>16</v>
      </c>
      <c r="I288" t="s">
        <v>44</v>
      </c>
      <c r="J288" t="s">
        <v>18</v>
      </c>
      <c r="K288" t="str">
        <f t="shared" si="32"/>
        <v>Water Leakage</v>
      </c>
      <c r="L288" t="s">
        <v>882</v>
      </c>
      <c r="M288" t="str">
        <f t="shared" si="33"/>
        <v>Water pipe leakage near school</v>
      </c>
      <c r="N288">
        <v>4</v>
      </c>
      <c r="O288" t="s">
        <v>37</v>
      </c>
      <c r="P288">
        <f t="shared" si="34"/>
        <v>7</v>
      </c>
      <c r="Q288" t="str">
        <f t="shared" si="35"/>
        <v>Delayed</v>
      </c>
      <c r="R288" t="str">
        <f t="shared" si="36"/>
        <v>Off288</v>
      </c>
      <c r="S288">
        <v>3</v>
      </c>
      <c r="T288">
        <v>40</v>
      </c>
      <c r="U288">
        <v>49161</v>
      </c>
      <c r="V288">
        <v>48866</v>
      </c>
      <c r="W288" t="str">
        <f t="shared" si="37"/>
        <v>Yes</v>
      </c>
      <c r="X288" t="str">
        <f t="shared" si="38"/>
        <v>Level 2</v>
      </c>
      <c r="Y288" s="2">
        <f t="shared" si="39"/>
        <v>46164</v>
      </c>
    </row>
    <row r="289" spans="1:25" x14ac:dyDescent="0.25">
      <c r="A289" t="s">
        <v>561</v>
      </c>
      <c r="B289" t="s">
        <v>20</v>
      </c>
      <c r="C289" t="s">
        <v>39</v>
      </c>
      <c r="D289" t="s">
        <v>34</v>
      </c>
      <c r="E289" t="s">
        <v>30</v>
      </c>
      <c r="F289" s="1">
        <v>35</v>
      </c>
      <c r="G289" t="s">
        <v>520</v>
      </c>
      <c r="H289" t="s">
        <v>47</v>
      </c>
      <c r="I289" t="s">
        <v>26</v>
      </c>
      <c r="J289" t="s">
        <v>18</v>
      </c>
      <c r="K289" t="str">
        <f t="shared" si="32"/>
        <v>Garbage Collection</v>
      </c>
      <c r="L289" t="s">
        <v>883</v>
      </c>
      <c r="M289" t="str">
        <f t="shared" si="33"/>
        <v>Garbage not collected for 3 days</v>
      </c>
      <c r="N289">
        <v>1</v>
      </c>
      <c r="O289" t="s">
        <v>18</v>
      </c>
      <c r="P289">
        <f t="shared" si="34"/>
        <v>3</v>
      </c>
      <c r="Q289" t="str">
        <f t="shared" si="35"/>
        <v>Delayed</v>
      </c>
      <c r="R289" t="str">
        <f t="shared" si="36"/>
        <v>Off289</v>
      </c>
      <c r="S289">
        <v>2</v>
      </c>
      <c r="T289">
        <v>14</v>
      </c>
      <c r="U289">
        <v>16716</v>
      </c>
      <c r="V289">
        <v>17647</v>
      </c>
      <c r="W289" t="str">
        <f t="shared" si="37"/>
        <v>Yes</v>
      </c>
      <c r="X289" t="str">
        <f t="shared" si="38"/>
        <v>Level 3</v>
      </c>
      <c r="Y289" s="2">
        <f t="shared" si="39"/>
        <v>45964</v>
      </c>
    </row>
    <row r="290" spans="1:25" x14ac:dyDescent="0.25">
      <c r="A290" t="s">
        <v>562</v>
      </c>
      <c r="B290" t="s">
        <v>69</v>
      </c>
      <c r="C290" t="s">
        <v>39</v>
      </c>
      <c r="D290" t="s">
        <v>13</v>
      </c>
      <c r="E290" t="s">
        <v>14</v>
      </c>
      <c r="F290" s="1">
        <v>25</v>
      </c>
      <c r="G290" t="s">
        <v>563</v>
      </c>
      <c r="H290" t="s">
        <v>16</v>
      </c>
      <c r="I290" t="s">
        <v>26</v>
      </c>
      <c r="J290" t="s">
        <v>18</v>
      </c>
      <c r="K290" t="str">
        <f t="shared" si="32"/>
        <v>General Complaint</v>
      </c>
      <c r="L290" t="s">
        <v>884</v>
      </c>
      <c r="M290" t="str">
        <f t="shared" si="33"/>
        <v>General complaint reported</v>
      </c>
      <c r="N290">
        <v>2</v>
      </c>
      <c r="O290" t="s">
        <v>18</v>
      </c>
      <c r="P290">
        <f t="shared" si="34"/>
        <v>15</v>
      </c>
      <c r="Q290" t="str">
        <f t="shared" si="35"/>
        <v>Delayed</v>
      </c>
      <c r="R290" t="str">
        <f t="shared" si="36"/>
        <v>Off290</v>
      </c>
      <c r="S290">
        <v>8</v>
      </c>
      <c r="T290">
        <v>8</v>
      </c>
      <c r="U290">
        <v>34286</v>
      </c>
      <c r="V290">
        <v>34437</v>
      </c>
      <c r="W290" t="str">
        <f t="shared" si="37"/>
        <v>Yes</v>
      </c>
      <c r="X290" t="str">
        <f t="shared" si="38"/>
        <v>Level 1</v>
      </c>
      <c r="Y290" s="2">
        <f t="shared" si="39"/>
        <v>45715</v>
      </c>
    </row>
    <row r="291" spans="1:25" x14ac:dyDescent="0.25">
      <c r="A291" t="s">
        <v>564</v>
      </c>
      <c r="B291" t="s">
        <v>60</v>
      </c>
      <c r="C291" t="s">
        <v>39</v>
      </c>
      <c r="D291" t="s">
        <v>13</v>
      </c>
      <c r="E291" t="s">
        <v>14</v>
      </c>
      <c r="F291" s="1">
        <v>36</v>
      </c>
      <c r="G291" t="s">
        <v>565</v>
      </c>
      <c r="H291" t="s">
        <v>58</v>
      </c>
      <c r="I291" t="s">
        <v>26</v>
      </c>
      <c r="J291" t="s">
        <v>18</v>
      </c>
      <c r="K291" t="str">
        <f t="shared" si="32"/>
        <v>General Complaint</v>
      </c>
      <c r="L291" t="s">
        <v>885</v>
      </c>
      <c r="M291" t="str">
        <f t="shared" si="33"/>
        <v>General complaint reported</v>
      </c>
      <c r="N291">
        <v>2</v>
      </c>
      <c r="O291" t="s">
        <v>18</v>
      </c>
      <c r="P291">
        <f t="shared" si="34"/>
        <v>15</v>
      </c>
      <c r="Q291" t="str">
        <f t="shared" si="35"/>
        <v>Delayed</v>
      </c>
      <c r="R291" t="str">
        <f t="shared" si="36"/>
        <v>Off291</v>
      </c>
      <c r="S291">
        <v>6</v>
      </c>
      <c r="T291">
        <v>35</v>
      </c>
      <c r="U291">
        <v>34941</v>
      </c>
      <c r="V291">
        <v>36693</v>
      </c>
      <c r="W291" t="str">
        <f t="shared" si="37"/>
        <v>Yes</v>
      </c>
      <c r="X291" t="str">
        <f t="shared" si="38"/>
        <v>Level 1</v>
      </c>
      <c r="Y291" s="2">
        <f t="shared" si="39"/>
        <v>46031</v>
      </c>
    </row>
    <row r="292" spans="1:25" x14ac:dyDescent="0.25">
      <c r="A292" t="s">
        <v>566</v>
      </c>
      <c r="B292" t="s">
        <v>53</v>
      </c>
      <c r="C292" t="s">
        <v>61</v>
      </c>
      <c r="D292" t="s">
        <v>34</v>
      </c>
      <c r="E292" t="s">
        <v>30</v>
      </c>
      <c r="F292" s="1">
        <v>43</v>
      </c>
      <c r="G292" t="s">
        <v>567</v>
      </c>
      <c r="H292" t="s">
        <v>40</v>
      </c>
      <c r="I292" t="s">
        <v>36</v>
      </c>
      <c r="J292" t="s">
        <v>18</v>
      </c>
      <c r="K292" t="str">
        <f t="shared" si="32"/>
        <v>Public Transport Delay</v>
      </c>
      <c r="L292" t="s">
        <v>881</v>
      </c>
      <c r="M292" t="str">
        <f t="shared" si="33"/>
        <v>Bus arrival delay reported</v>
      </c>
      <c r="N292">
        <v>1</v>
      </c>
      <c r="O292" t="s">
        <v>18</v>
      </c>
      <c r="P292">
        <f t="shared" si="34"/>
        <v>3</v>
      </c>
      <c r="Q292" t="str">
        <f t="shared" si="35"/>
        <v>Delayed</v>
      </c>
      <c r="R292" t="str">
        <f t="shared" si="36"/>
        <v>Off292</v>
      </c>
      <c r="S292">
        <v>10</v>
      </c>
      <c r="T292">
        <v>32</v>
      </c>
      <c r="U292">
        <v>3894</v>
      </c>
      <c r="V292">
        <v>5779</v>
      </c>
      <c r="W292" t="str">
        <f t="shared" si="37"/>
        <v>Yes</v>
      </c>
      <c r="X292" t="str">
        <f t="shared" si="38"/>
        <v>Level 3</v>
      </c>
      <c r="Y292" s="2">
        <f t="shared" si="39"/>
        <v>45947</v>
      </c>
    </row>
    <row r="293" spans="1:25" x14ac:dyDescent="0.25">
      <c r="A293" t="s">
        <v>568</v>
      </c>
      <c r="B293" t="s">
        <v>53</v>
      </c>
      <c r="C293" t="s">
        <v>39</v>
      </c>
      <c r="D293" t="s">
        <v>34</v>
      </c>
      <c r="E293" t="s">
        <v>14</v>
      </c>
      <c r="F293" s="1">
        <v>12</v>
      </c>
      <c r="G293" t="s">
        <v>555</v>
      </c>
      <c r="H293" t="s">
        <v>51</v>
      </c>
      <c r="I293" t="s">
        <v>65</v>
      </c>
      <c r="J293" t="s">
        <v>18</v>
      </c>
      <c r="K293" t="str">
        <f t="shared" si="32"/>
        <v>Public Transport Delay</v>
      </c>
      <c r="L293" t="s">
        <v>882</v>
      </c>
      <c r="M293" t="str">
        <f t="shared" si="33"/>
        <v>Bus arrival delay reported</v>
      </c>
      <c r="N293">
        <v>4</v>
      </c>
      <c r="O293" t="s">
        <v>37</v>
      </c>
      <c r="P293">
        <f t="shared" si="34"/>
        <v>3</v>
      </c>
      <c r="Q293" t="str">
        <f t="shared" si="35"/>
        <v>Delayed</v>
      </c>
      <c r="R293" t="str">
        <f t="shared" si="36"/>
        <v>Off293</v>
      </c>
      <c r="S293">
        <v>14</v>
      </c>
      <c r="T293">
        <v>39</v>
      </c>
      <c r="U293">
        <v>38798</v>
      </c>
      <c r="V293">
        <v>38829</v>
      </c>
      <c r="W293" t="str">
        <f t="shared" si="37"/>
        <v>Yes</v>
      </c>
      <c r="X293" t="str">
        <f t="shared" si="38"/>
        <v>Level 3</v>
      </c>
      <c r="Y293" s="2">
        <f t="shared" si="39"/>
        <v>45716</v>
      </c>
    </row>
    <row r="294" spans="1:25" x14ac:dyDescent="0.25">
      <c r="A294" t="s">
        <v>569</v>
      </c>
      <c r="B294" t="s">
        <v>20</v>
      </c>
      <c r="C294" t="s">
        <v>29</v>
      </c>
      <c r="D294" t="s">
        <v>13</v>
      </c>
      <c r="E294" t="s">
        <v>42</v>
      </c>
      <c r="F294" s="1">
        <v>2</v>
      </c>
      <c r="G294" t="s">
        <v>570</v>
      </c>
      <c r="H294" t="s">
        <v>51</v>
      </c>
      <c r="I294" t="s">
        <v>44</v>
      </c>
      <c r="J294" t="s">
        <v>37</v>
      </c>
      <c r="K294" t="str">
        <f t="shared" si="32"/>
        <v>Garbage Collection</v>
      </c>
      <c r="L294" t="s">
        <v>883</v>
      </c>
      <c r="M294" t="str">
        <f t="shared" si="33"/>
        <v>Garbage not collected for 3 days</v>
      </c>
      <c r="N294">
        <v>2</v>
      </c>
      <c r="O294" t="s">
        <v>18</v>
      </c>
      <c r="P294">
        <f t="shared" si="34"/>
        <v>15</v>
      </c>
      <c r="Q294" t="str">
        <f t="shared" si="35"/>
        <v>Within SLA</v>
      </c>
      <c r="R294" t="str">
        <f t="shared" si="36"/>
        <v>Off294</v>
      </c>
      <c r="S294">
        <v>8</v>
      </c>
      <c r="T294">
        <v>34</v>
      </c>
      <c r="U294">
        <v>30817</v>
      </c>
      <c r="V294">
        <v>30887</v>
      </c>
      <c r="W294" t="str">
        <f t="shared" si="37"/>
        <v>No</v>
      </c>
      <c r="X294" t="str">
        <f t="shared" si="38"/>
        <v>None</v>
      </c>
      <c r="Y294" s="2">
        <f t="shared" si="39"/>
        <v>45709</v>
      </c>
    </row>
    <row r="295" spans="1:25" x14ac:dyDescent="0.25">
      <c r="A295" t="s">
        <v>571</v>
      </c>
      <c r="B295" t="s">
        <v>28</v>
      </c>
      <c r="C295" t="s">
        <v>12</v>
      </c>
      <c r="D295" t="s">
        <v>22</v>
      </c>
      <c r="E295" t="s">
        <v>42</v>
      </c>
      <c r="F295" s="1">
        <v>14</v>
      </c>
      <c r="G295" t="s">
        <v>572</v>
      </c>
      <c r="H295" t="s">
        <v>47</v>
      </c>
      <c r="I295" t="s">
        <v>65</v>
      </c>
      <c r="J295" t="s">
        <v>18</v>
      </c>
      <c r="K295" t="str">
        <f t="shared" si="32"/>
        <v>Road Damage</v>
      </c>
      <c r="L295" t="s">
        <v>884</v>
      </c>
      <c r="M295" t="str">
        <f t="shared" si="33"/>
        <v>Road damaged due to heavy rain</v>
      </c>
      <c r="N295">
        <v>3</v>
      </c>
      <c r="O295" t="s">
        <v>37</v>
      </c>
      <c r="P295">
        <f t="shared" si="34"/>
        <v>7</v>
      </c>
      <c r="Q295" t="str">
        <f t="shared" si="35"/>
        <v>Delayed</v>
      </c>
      <c r="R295" t="str">
        <f t="shared" si="36"/>
        <v>Off295</v>
      </c>
      <c r="S295">
        <v>3</v>
      </c>
      <c r="T295">
        <v>14</v>
      </c>
      <c r="U295">
        <v>9381</v>
      </c>
      <c r="V295">
        <v>9499</v>
      </c>
      <c r="W295" t="str">
        <f t="shared" si="37"/>
        <v>Yes</v>
      </c>
      <c r="X295" t="str">
        <f t="shared" si="38"/>
        <v>Level 2</v>
      </c>
      <c r="Y295" s="2">
        <f t="shared" si="39"/>
        <v>46001</v>
      </c>
    </row>
    <row r="296" spans="1:25" x14ac:dyDescent="0.25">
      <c r="A296" t="s">
        <v>573</v>
      </c>
      <c r="B296" t="s">
        <v>20</v>
      </c>
      <c r="C296" t="s">
        <v>49</v>
      </c>
      <c r="D296" t="s">
        <v>34</v>
      </c>
      <c r="E296" t="s">
        <v>30</v>
      </c>
      <c r="F296" s="1">
        <v>32</v>
      </c>
      <c r="G296" t="s">
        <v>574</v>
      </c>
      <c r="H296" t="s">
        <v>51</v>
      </c>
      <c r="I296" t="s">
        <v>44</v>
      </c>
      <c r="J296" t="s">
        <v>18</v>
      </c>
      <c r="K296" t="str">
        <f t="shared" si="32"/>
        <v>Garbage Collection</v>
      </c>
      <c r="L296" t="s">
        <v>885</v>
      </c>
      <c r="M296" t="str">
        <f t="shared" si="33"/>
        <v>Garbage not collected for 3 days</v>
      </c>
      <c r="N296">
        <v>4</v>
      </c>
      <c r="O296" t="s">
        <v>37</v>
      </c>
      <c r="P296">
        <f t="shared" si="34"/>
        <v>3</v>
      </c>
      <c r="Q296" t="str">
        <f t="shared" si="35"/>
        <v>Delayed</v>
      </c>
      <c r="R296" t="str">
        <f t="shared" si="36"/>
        <v>Off296</v>
      </c>
      <c r="S296">
        <v>15</v>
      </c>
      <c r="T296">
        <v>18</v>
      </c>
      <c r="U296">
        <v>25241</v>
      </c>
      <c r="V296">
        <v>26961</v>
      </c>
      <c r="W296" t="str">
        <f t="shared" si="37"/>
        <v>Yes</v>
      </c>
      <c r="X296" t="str">
        <f t="shared" si="38"/>
        <v>Level 3</v>
      </c>
      <c r="Y296" s="2">
        <f t="shared" si="39"/>
        <v>46177</v>
      </c>
    </row>
    <row r="297" spans="1:25" x14ac:dyDescent="0.25">
      <c r="A297" t="s">
        <v>575</v>
      </c>
      <c r="B297" t="s">
        <v>28</v>
      </c>
      <c r="C297" t="s">
        <v>56</v>
      </c>
      <c r="D297" t="s">
        <v>34</v>
      </c>
      <c r="E297" t="s">
        <v>23</v>
      </c>
      <c r="F297" s="1">
        <v>21</v>
      </c>
      <c r="G297" t="s">
        <v>576</v>
      </c>
      <c r="H297" t="s">
        <v>40</v>
      </c>
      <c r="I297" t="s">
        <v>65</v>
      </c>
      <c r="J297" t="s">
        <v>18</v>
      </c>
      <c r="K297" t="str">
        <f t="shared" si="32"/>
        <v>Road Damage</v>
      </c>
      <c r="L297" t="s">
        <v>881</v>
      </c>
      <c r="M297" t="str">
        <f t="shared" si="33"/>
        <v>Road damaged due to heavy rain</v>
      </c>
      <c r="N297">
        <v>2</v>
      </c>
      <c r="O297" t="s">
        <v>18</v>
      </c>
      <c r="P297">
        <f t="shared" si="34"/>
        <v>3</v>
      </c>
      <c r="Q297" t="str">
        <f t="shared" si="35"/>
        <v>Delayed</v>
      </c>
      <c r="R297" t="str">
        <f t="shared" si="36"/>
        <v>Off297</v>
      </c>
      <c r="S297">
        <v>2</v>
      </c>
      <c r="T297">
        <v>6</v>
      </c>
      <c r="U297">
        <v>8886</v>
      </c>
      <c r="V297">
        <v>8661</v>
      </c>
      <c r="W297" t="str">
        <f t="shared" si="37"/>
        <v>Yes</v>
      </c>
      <c r="X297" t="str">
        <f t="shared" si="38"/>
        <v>Level 3</v>
      </c>
      <c r="Y297" s="2">
        <f t="shared" si="39"/>
        <v>45761</v>
      </c>
    </row>
    <row r="298" spans="1:25" x14ac:dyDescent="0.25">
      <c r="A298" t="s">
        <v>577</v>
      </c>
      <c r="B298" t="s">
        <v>11</v>
      </c>
      <c r="C298" t="s">
        <v>29</v>
      </c>
      <c r="D298" t="s">
        <v>22</v>
      </c>
      <c r="E298" t="s">
        <v>42</v>
      </c>
      <c r="F298" s="1">
        <v>2</v>
      </c>
      <c r="G298" t="s">
        <v>525</v>
      </c>
      <c r="H298" t="s">
        <v>40</v>
      </c>
      <c r="I298" t="s">
        <v>26</v>
      </c>
      <c r="J298" t="s">
        <v>37</v>
      </c>
      <c r="K298" t="str">
        <f t="shared" si="32"/>
        <v>Water Leakage</v>
      </c>
      <c r="L298" t="s">
        <v>882</v>
      </c>
      <c r="M298" t="str">
        <f t="shared" si="33"/>
        <v>Water pipe leakage near school</v>
      </c>
      <c r="N298">
        <v>2</v>
      </c>
      <c r="O298" t="s">
        <v>18</v>
      </c>
      <c r="P298">
        <f t="shared" si="34"/>
        <v>7</v>
      </c>
      <c r="Q298" t="str">
        <f t="shared" si="35"/>
        <v>Within SLA</v>
      </c>
      <c r="R298" t="str">
        <f t="shared" si="36"/>
        <v>Off298</v>
      </c>
      <c r="S298">
        <v>2</v>
      </c>
      <c r="T298">
        <v>35</v>
      </c>
      <c r="U298">
        <v>7998</v>
      </c>
      <c r="V298">
        <v>9585</v>
      </c>
      <c r="W298" t="str">
        <f t="shared" si="37"/>
        <v>No</v>
      </c>
      <c r="X298" t="str">
        <f t="shared" si="38"/>
        <v>None</v>
      </c>
      <c r="Y298" s="2">
        <f t="shared" si="39"/>
        <v>45805</v>
      </c>
    </row>
    <row r="299" spans="1:25" x14ac:dyDescent="0.25">
      <c r="A299" t="s">
        <v>578</v>
      </c>
      <c r="B299" t="s">
        <v>28</v>
      </c>
      <c r="C299" t="s">
        <v>33</v>
      </c>
      <c r="D299" t="s">
        <v>13</v>
      </c>
      <c r="E299" t="s">
        <v>23</v>
      </c>
      <c r="F299" s="1">
        <v>13</v>
      </c>
      <c r="G299" t="s">
        <v>579</v>
      </c>
      <c r="H299" t="s">
        <v>25</v>
      </c>
      <c r="I299" t="s">
        <v>65</v>
      </c>
      <c r="J299" t="s">
        <v>18</v>
      </c>
      <c r="K299" t="str">
        <f t="shared" si="32"/>
        <v>Road Damage</v>
      </c>
      <c r="L299" t="s">
        <v>883</v>
      </c>
      <c r="M299" t="str">
        <f t="shared" si="33"/>
        <v>Road damaged due to heavy rain</v>
      </c>
      <c r="N299">
        <v>1</v>
      </c>
      <c r="O299" t="s">
        <v>18</v>
      </c>
      <c r="P299">
        <f t="shared" si="34"/>
        <v>15</v>
      </c>
      <c r="Q299" t="str">
        <f t="shared" si="35"/>
        <v>Within SLA</v>
      </c>
      <c r="R299" t="str">
        <f t="shared" si="36"/>
        <v>Off299</v>
      </c>
      <c r="S299">
        <v>8</v>
      </c>
      <c r="T299">
        <v>27</v>
      </c>
      <c r="U299">
        <v>25077</v>
      </c>
      <c r="V299">
        <v>25532</v>
      </c>
      <c r="W299" t="str">
        <f t="shared" si="37"/>
        <v>No</v>
      </c>
      <c r="X299" t="str">
        <f t="shared" si="38"/>
        <v>None</v>
      </c>
      <c r="Y299" s="2">
        <f t="shared" si="39"/>
        <v>45814</v>
      </c>
    </row>
    <row r="300" spans="1:25" x14ac:dyDescent="0.25">
      <c r="A300" t="s">
        <v>580</v>
      </c>
      <c r="B300" t="s">
        <v>20</v>
      </c>
      <c r="C300" t="s">
        <v>33</v>
      </c>
      <c r="D300" t="s">
        <v>34</v>
      </c>
      <c r="E300" t="s">
        <v>30</v>
      </c>
      <c r="F300" s="1">
        <v>18</v>
      </c>
      <c r="G300" t="s">
        <v>43</v>
      </c>
      <c r="H300" t="s">
        <v>25</v>
      </c>
      <c r="I300" t="s">
        <v>36</v>
      </c>
      <c r="J300" t="s">
        <v>18</v>
      </c>
      <c r="K300" t="str">
        <f t="shared" si="32"/>
        <v>Garbage Collection</v>
      </c>
      <c r="L300" t="s">
        <v>884</v>
      </c>
      <c r="M300" t="str">
        <f t="shared" si="33"/>
        <v>Garbage not collected for 3 days</v>
      </c>
      <c r="N300">
        <v>4</v>
      </c>
      <c r="O300" t="s">
        <v>37</v>
      </c>
      <c r="P300">
        <f t="shared" si="34"/>
        <v>3</v>
      </c>
      <c r="Q300" t="str">
        <f t="shared" si="35"/>
        <v>Delayed</v>
      </c>
      <c r="R300" t="str">
        <f t="shared" si="36"/>
        <v>Off300</v>
      </c>
      <c r="S300">
        <v>5</v>
      </c>
      <c r="T300">
        <v>39</v>
      </c>
      <c r="U300">
        <v>24030</v>
      </c>
      <c r="V300">
        <v>22490</v>
      </c>
      <c r="W300" t="str">
        <f t="shared" si="37"/>
        <v>Yes</v>
      </c>
      <c r="X300" t="str">
        <f t="shared" si="38"/>
        <v>Level 3</v>
      </c>
      <c r="Y300" s="2">
        <f t="shared" si="39"/>
        <v>46122</v>
      </c>
    </row>
    <row r="301" spans="1:25" x14ac:dyDescent="0.25">
      <c r="A301" t="s">
        <v>581</v>
      </c>
      <c r="B301" t="s">
        <v>11</v>
      </c>
      <c r="C301" t="s">
        <v>21</v>
      </c>
      <c r="D301" t="s">
        <v>22</v>
      </c>
      <c r="E301" t="s">
        <v>23</v>
      </c>
      <c r="F301" s="1">
        <v>12</v>
      </c>
      <c r="G301" t="s">
        <v>72</v>
      </c>
      <c r="H301" t="s">
        <v>51</v>
      </c>
      <c r="I301" t="s">
        <v>65</v>
      </c>
      <c r="J301" t="s">
        <v>18</v>
      </c>
      <c r="K301" t="str">
        <f t="shared" si="32"/>
        <v>Water Leakage</v>
      </c>
      <c r="L301" t="s">
        <v>885</v>
      </c>
      <c r="M301" t="str">
        <f t="shared" si="33"/>
        <v>Water pipe leakage near school</v>
      </c>
      <c r="N301">
        <v>5</v>
      </c>
      <c r="O301" t="s">
        <v>37</v>
      </c>
      <c r="P301">
        <f t="shared" si="34"/>
        <v>7</v>
      </c>
      <c r="Q301" t="str">
        <f t="shared" si="35"/>
        <v>Delayed</v>
      </c>
      <c r="R301" t="str">
        <f t="shared" si="36"/>
        <v>Off301</v>
      </c>
      <c r="S301">
        <v>5</v>
      </c>
      <c r="T301">
        <v>39</v>
      </c>
      <c r="U301">
        <v>4580</v>
      </c>
      <c r="V301">
        <v>4365</v>
      </c>
      <c r="W301" t="str">
        <f t="shared" si="37"/>
        <v>Yes</v>
      </c>
      <c r="X301" t="str">
        <f t="shared" si="38"/>
        <v>Level 2</v>
      </c>
      <c r="Y301" s="2">
        <f t="shared" si="39"/>
        <v>45818</v>
      </c>
    </row>
    <row r="302" spans="1:25" x14ac:dyDescent="0.25">
      <c r="A302" t="s">
        <v>582</v>
      </c>
      <c r="B302" t="s">
        <v>28</v>
      </c>
      <c r="C302" t="s">
        <v>56</v>
      </c>
      <c r="D302" t="s">
        <v>34</v>
      </c>
      <c r="E302" t="s">
        <v>42</v>
      </c>
      <c r="F302" s="1">
        <v>15</v>
      </c>
      <c r="G302" t="s">
        <v>583</v>
      </c>
      <c r="H302" t="s">
        <v>16</v>
      </c>
      <c r="I302" t="s">
        <v>44</v>
      </c>
      <c r="J302" t="s">
        <v>18</v>
      </c>
      <c r="K302" t="str">
        <f t="shared" si="32"/>
        <v>Road Damage</v>
      </c>
      <c r="L302" t="s">
        <v>881</v>
      </c>
      <c r="M302" t="str">
        <f t="shared" si="33"/>
        <v>Road damaged due to heavy rain</v>
      </c>
      <c r="N302">
        <v>2</v>
      </c>
      <c r="O302" t="s">
        <v>18</v>
      </c>
      <c r="P302">
        <f t="shared" si="34"/>
        <v>3</v>
      </c>
      <c r="Q302" t="str">
        <f t="shared" si="35"/>
        <v>Delayed</v>
      </c>
      <c r="R302" t="str">
        <f t="shared" si="36"/>
        <v>Off302</v>
      </c>
      <c r="S302">
        <v>10</v>
      </c>
      <c r="T302">
        <v>5</v>
      </c>
      <c r="U302">
        <v>32436</v>
      </c>
      <c r="V302">
        <v>33249</v>
      </c>
      <c r="W302" t="str">
        <f t="shared" si="37"/>
        <v>Yes</v>
      </c>
      <c r="X302" t="str">
        <f t="shared" si="38"/>
        <v>Level 3</v>
      </c>
      <c r="Y302" s="2">
        <f t="shared" si="39"/>
        <v>45701</v>
      </c>
    </row>
    <row r="303" spans="1:25" x14ac:dyDescent="0.25">
      <c r="A303" t="s">
        <v>584</v>
      </c>
      <c r="B303" t="s">
        <v>69</v>
      </c>
      <c r="C303" t="s">
        <v>12</v>
      </c>
      <c r="D303" t="s">
        <v>22</v>
      </c>
      <c r="E303" t="s">
        <v>42</v>
      </c>
      <c r="F303" s="1">
        <v>27</v>
      </c>
      <c r="G303" t="s">
        <v>437</v>
      </c>
      <c r="H303" t="s">
        <v>25</v>
      </c>
      <c r="I303" t="s">
        <v>44</v>
      </c>
      <c r="J303" t="s">
        <v>18</v>
      </c>
      <c r="K303" t="str">
        <f t="shared" si="32"/>
        <v>General Complaint</v>
      </c>
      <c r="L303" t="s">
        <v>882</v>
      </c>
      <c r="M303" t="str">
        <f t="shared" si="33"/>
        <v>General complaint reported</v>
      </c>
      <c r="N303">
        <v>1</v>
      </c>
      <c r="O303" t="s">
        <v>18</v>
      </c>
      <c r="P303">
        <f t="shared" si="34"/>
        <v>7</v>
      </c>
      <c r="Q303" t="str">
        <f t="shared" si="35"/>
        <v>Delayed</v>
      </c>
      <c r="R303" t="str">
        <f t="shared" si="36"/>
        <v>Off303</v>
      </c>
      <c r="S303">
        <v>11</v>
      </c>
      <c r="T303">
        <v>8</v>
      </c>
      <c r="U303">
        <v>45949</v>
      </c>
      <c r="V303">
        <v>44202</v>
      </c>
      <c r="W303" t="str">
        <f t="shared" si="37"/>
        <v>Yes</v>
      </c>
      <c r="X303" t="str">
        <f t="shared" si="38"/>
        <v>Level 2</v>
      </c>
      <c r="Y303" s="2">
        <f t="shared" si="39"/>
        <v>46027</v>
      </c>
    </row>
    <row r="304" spans="1:25" x14ac:dyDescent="0.25">
      <c r="A304" t="s">
        <v>585</v>
      </c>
      <c r="B304" t="s">
        <v>28</v>
      </c>
      <c r="C304" t="s">
        <v>39</v>
      </c>
      <c r="D304" t="s">
        <v>22</v>
      </c>
      <c r="E304" t="s">
        <v>30</v>
      </c>
      <c r="F304" s="1">
        <v>41</v>
      </c>
      <c r="G304" t="s">
        <v>586</v>
      </c>
      <c r="H304" t="s">
        <v>40</v>
      </c>
      <c r="I304" t="s">
        <v>65</v>
      </c>
      <c r="J304" t="s">
        <v>18</v>
      </c>
      <c r="K304" t="str">
        <f t="shared" si="32"/>
        <v>Road Damage</v>
      </c>
      <c r="L304" t="s">
        <v>883</v>
      </c>
      <c r="M304" t="str">
        <f t="shared" si="33"/>
        <v>Road damaged due to heavy rain</v>
      </c>
      <c r="N304">
        <v>4</v>
      </c>
      <c r="O304" t="s">
        <v>37</v>
      </c>
      <c r="P304">
        <f t="shared" si="34"/>
        <v>7</v>
      </c>
      <c r="Q304" t="str">
        <f t="shared" si="35"/>
        <v>Delayed</v>
      </c>
      <c r="R304" t="str">
        <f t="shared" si="36"/>
        <v>Off304</v>
      </c>
      <c r="S304">
        <v>6</v>
      </c>
      <c r="T304">
        <v>49</v>
      </c>
      <c r="U304">
        <v>46601</v>
      </c>
      <c r="V304">
        <v>48339</v>
      </c>
      <c r="W304" t="str">
        <f t="shared" si="37"/>
        <v>Yes</v>
      </c>
      <c r="X304" t="str">
        <f t="shared" si="38"/>
        <v>Level 2</v>
      </c>
      <c r="Y304" s="2">
        <f t="shared" si="39"/>
        <v>46102</v>
      </c>
    </row>
    <row r="305" spans="1:25" x14ac:dyDescent="0.25">
      <c r="A305" t="s">
        <v>587</v>
      </c>
      <c r="B305" t="s">
        <v>53</v>
      </c>
      <c r="C305" t="s">
        <v>12</v>
      </c>
      <c r="D305" t="s">
        <v>13</v>
      </c>
      <c r="E305" t="s">
        <v>30</v>
      </c>
      <c r="F305" s="1">
        <v>38</v>
      </c>
      <c r="G305" t="s">
        <v>132</v>
      </c>
      <c r="H305" t="s">
        <v>58</v>
      </c>
      <c r="I305" t="s">
        <v>26</v>
      </c>
      <c r="J305" t="s">
        <v>18</v>
      </c>
      <c r="K305" t="str">
        <f t="shared" si="32"/>
        <v>Public Transport Delay</v>
      </c>
      <c r="L305" t="s">
        <v>884</v>
      </c>
      <c r="M305" t="str">
        <f t="shared" si="33"/>
        <v>Bus arrival delay reported</v>
      </c>
      <c r="N305">
        <v>5</v>
      </c>
      <c r="O305" t="s">
        <v>37</v>
      </c>
      <c r="P305">
        <f t="shared" si="34"/>
        <v>15</v>
      </c>
      <c r="Q305" t="str">
        <f t="shared" si="35"/>
        <v>Delayed</v>
      </c>
      <c r="R305" t="str">
        <f t="shared" si="36"/>
        <v>Off305</v>
      </c>
      <c r="S305">
        <v>5</v>
      </c>
      <c r="T305">
        <v>6</v>
      </c>
      <c r="U305">
        <v>35256</v>
      </c>
      <c r="V305">
        <v>34079</v>
      </c>
      <c r="W305" t="str">
        <f t="shared" si="37"/>
        <v>Yes</v>
      </c>
      <c r="X305" t="str">
        <f t="shared" si="38"/>
        <v>Level 1</v>
      </c>
      <c r="Y305" s="2">
        <f t="shared" si="39"/>
        <v>45911</v>
      </c>
    </row>
    <row r="306" spans="1:25" x14ac:dyDescent="0.25">
      <c r="A306" t="s">
        <v>588</v>
      </c>
      <c r="B306" t="s">
        <v>60</v>
      </c>
      <c r="C306" t="s">
        <v>12</v>
      </c>
      <c r="D306" t="s">
        <v>13</v>
      </c>
      <c r="E306" t="s">
        <v>42</v>
      </c>
      <c r="F306" s="1">
        <v>24</v>
      </c>
      <c r="G306" t="s">
        <v>589</v>
      </c>
      <c r="H306" t="s">
        <v>47</v>
      </c>
      <c r="I306" t="s">
        <v>26</v>
      </c>
      <c r="J306" t="s">
        <v>18</v>
      </c>
      <c r="K306" t="str">
        <f t="shared" si="32"/>
        <v>General Complaint</v>
      </c>
      <c r="L306" t="s">
        <v>885</v>
      </c>
      <c r="M306" t="str">
        <f t="shared" si="33"/>
        <v>General complaint reported</v>
      </c>
      <c r="N306">
        <v>4</v>
      </c>
      <c r="O306" t="s">
        <v>37</v>
      </c>
      <c r="P306">
        <f t="shared" si="34"/>
        <v>15</v>
      </c>
      <c r="Q306" t="str">
        <f t="shared" si="35"/>
        <v>Delayed</v>
      </c>
      <c r="R306" t="str">
        <f t="shared" si="36"/>
        <v>Off306</v>
      </c>
      <c r="S306">
        <v>8</v>
      </c>
      <c r="T306">
        <v>31</v>
      </c>
      <c r="U306">
        <v>32967</v>
      </c>
      <c r="V306">
        <v>34157</v>
      </c>
      <c r="W306" t="str">
        <f t="shared" si="37"/>
        <v>Yes</v>
      </c>
      <c r="X306" t="str">
        <f t="shared" si="38"/>
        <v>Level 1</v>
      </c>
      <c r="Y306" s="2">
        <f t="shared" si="39"/>
        <v>46219</v>
      </c>
    </row>
    <row r="307" spans="1:25" x14ac:dyDescent="0.25">
      <c r="A307" t="s">
        <v>590</v>
      </c>
      <c r="B307" t="s">
        <v>28</v>
      </c>
      <c r="C307" t="s">
        <v>56</v>
      </c>
      <c r="D307" t="s">
        <v>13</v>
      </c>
      <c r="E307" t="s">
        <v>23</v>
      </c>
      <c r="F307" s="1">
        <v>18</v>
      </c>
      <c r="G307" t="s">
        <v>310</v>
      </c>
      <c r="H307" t="s">
        <v>58</v>
      </c>
      <c r="I307" t="s">
        <v>44</v>
      </c>
      <c r="J307" t="s">
        <v>18</v>
      </c>
      <c r="K307" t="str">
        <f t="shared" si="32"/>
        <v>Road Damage</v>
      </c>
      <c r="L307" t="s">
        <v>881</v>
      </c>
      <c r="M307" t="str">
        <f t="shared" si="33"/>
        <v>Road damaged due to heavy rain</v>
      </c>
      <c r="N307">
        <v>1</v>
      </c>
      <c r="O307" t="s">
        <v>18</v>
      </c>
      <c r="P307">
        <f t="shared" si="34"/>
        <v>15</v>
      </c>
      <c r="Q307" t="str">
        <f t="shared" si="35"/>
        <v>Delayed</v>
      </c>
      <c r="R307" t="str">
        <f t="shared" si="36"/>
        <v>Off307</v>
      </c>
      <c r="S307">
        <v>14</v>
      </c>
      <c r="T307">
        <v>33</v>
      </c>
      <c r="U307">
        <v>6870</v>
      </c>
      <c r="V307">
        <v>6677</v>
      </c>
      <c r="W307" t="str">
        <f t="shared" si="37"/>
        <v>Yes</v>
      </c>
      <c r="X307" t="str">
        <f t="shared" si="38"/>
        <v>Level 1</v>
      </c>
      <c r="Y307" s="2">
        <f t="shared" si="39"/>
        <v>46160</v>
      </c>
    </row>
    <row r="308" spans="1:25" x14ac:dyDescent="0.25">
      <c r="A308" t="s">
        <v>591</v>
      </c>
      <c r="B308" t="s">
        <v>69</v>
      </c>
      <c r="C308" t="s">
        <v>39</v>
      </c>
      <c r="D308" t="s">
        <v>13</v>
      </c>
      <c r="E308" t="s">
        <v>23</v>
      </c>
      <c r="F308" s="1">
        <v>17</v>
      </c>
      <c r="G308" t="s">
        <v>280</v>
      </c>
      <c r="H308" t="s">
        <v>16</v>
      </c>
      <c r="I308" t="s">
        <v>17</v>
      </c>
      <c r="J308" t="s">
        <v>18</v>
      </c>
      <c r="K308" t="str">
        <f t="shared" si="32"/>
        <v>General Complaint</v>
      </c>
      <c r="L308" t="s">
        <v>882</v>
      </c>
      <c r="M308" t="str">
        <f t="shared" si="33"/>
        <v>General complaint reported</v>
      </c>
      <c r="N308">
        <v>5</v>
      </c>
      <c r="O308" t="s">
        <v>37</v>
      </c>
      <c r="P308">
        <f t="shared" si="34"/>
        <v>15</v>
      </c>
      <c r="Q308" t="str">
        <f t="shared" si="35"/>
        <v>Delayed</v>
      </c>
      <c r="R308" t="str">
        <f t="shared" si="36"/>
        <v>Off308</v>
      </c>
      <c r="S308">
        <v>14</v>
      </c>
      <c r="T308">
        <v>15</v>
      </c>
      <c r="U308">
        <v>22158</v>
      </c>
      <c r="V308">
        <v>20930</v>
      </c>
      <c r="W308" t="str">
        <f t="shared" si="37"/>
        <v>Yes</v>
      </c>
      <c r="X308" t="str">
        <f t="shared" si="38"/>
        <v>Level 1</v>
      </c>
      <c r="Y308" s="2">
        <f t="shared" si="39"/>
        <v>46130</v>
      </c>
    </row>
    <row r="309" spans="1:25" x14ac:dyDescent="0.25">
      <c r="A309" t="s">
        <v>592</v>
      </c>
      <c r="B309" t="s">
        <v>60</v>
      </c>
      <c r="C309" t="s">
        <v>12</v>
      </c>
      <c r="D309" t="s">
        <v>13</v>
      </c>
      <c r="E309" t="s">
        <v>14</v>
      </c>
      <c r="F309" s="1">
        <v>20</v>
      </c>
      <c r="G309" t="s">
        <v>593</v>
      </c>
      <c r="H309" t="s">
        <v>40</v>
      </c>
      <c r="I309" t="s">
        <v>65</v>
      </c>
      <c r="J309" t="s">
        <v>18</v>
      </c>
      <c r="K309" t="str">
        <f t="shared" si="32"/>
        <v>General Complaint</v>
      </c>
      <c r="L309" t="s">
        <v>883</v>
      </c>
      <c r="M309" t="str">
        <f t="shared" si="33"/>
        <v>General complaint reported</v>
      </c>
      <c r="N309">
        <v>3</v>
      </c>
      <c r="O309" t="s">
        <v>37</v>
      </c>
      <c r="P309">
        <f t="shared" si="34"/>
        <v>15</v>
      </c>
      <c r="Q309" t="str">
        <f t="shared" si="35"/>
        <v>Delayed</v>
      </c>
      <c r="R309" t="str">
        <f t="shared" si="36"/>
        <v>Off309</v>
      </c>
      <c r="S309">
        <v>15</v>
      </c>
      <c r="T309">
        <v>12</v>
      </c>
      <c r="U309">
        <v>37567</v>
      </c>
      <c r="V309">
        <v>39272</v>
      </c>
      <c r="W309" t="str">
        <f t="shared" si="37"/>
        <v>Yes</v>
      </c>
      <c r="X309" t="str">
        <f t="shared" si="38"/>
        <v>Level 1</v>
      </c>
      <c r="Y309" s="2">
        <f t="shared" si="39"/>
        <v>45890</v>
      </c>
    </row>
    <row r="310" spans="1:25" x14ac:dyDescent="0.25">
      <c r="A310" t="s">
        <v>594</v>
      </c>
      <c r="B310" t="s">
        <v>11</v>
      </c>
      <c r="C310" t="s">
        <v>29</v>
      </c>
      <c r="D310" t="s">
        <v>13</v>
      </c>
      <c r="E310" t="s">
        <v>42</v>
      </c>
      <c r="F310" s="1">
        <v>1</v>
      </c>
      <c r="G310" t="s">
        <v>413</v>
      </c>
      <c r="H310" t="s">
        <v>51</v>
      </c>
      <c r="I310" t="s">
        <v>17</v>
      </c>
      <c r="J310" t="s">
        <v>37</v>
      </c>
      <c r="K310" t="str">
        <f t="shared" si="32"/>
        <v>Water Leakage</v>
      </c>
      <c r="L310" t="s">
        <v>884</v>
      </c>
      <c r="M310" t="str">
        <f t="shared" si="33"/>
        <v>Water pipe leakage near school</v>
      </c>
      <c r="N310">
        <v>1</v>
      </c>
      <c r="O310" t="s">
        <v>18</v>
      </c>
      <c r="P310">
        <f t="shared" si="34"/>
        <v>15</v>
      </c>
      <c r="Q310" t="str">
        <f t="shared" si="35"/>
        <v>Within SLA</v>
      </c>
      <c r="R310" t="str">
        <f t="shared" si="36"/>
        <v>Off310</v>
      </c>
      <c r="S310">
        <v>1</v>
      </c>
      <c r="T310">
        <v>7</v>
      </c>
      <c r="U310">
        <v>46890</v>
      </c>
      <c r="V310">
        <v>46238</v>
      </c>
      <c r="W310" t="str">
        <f t="shared" si="37"/>
        <v>No</v>
      </c>
      <c r="X310" t="str">
        <f t="shared" si="38"/>
        <v>None</v>
      </c>
      <c r="Y310" s="2">
        <f t="shared" si="39"/>
        <v>45814</v>
      </c>
    </row>
    <row r="311" spans="1:25" x14ac:dyDescent="0.25">
      <c r="A311" t="s">
        <v>595</v>
      </c>
      <c r="B311" t="s">
        <v>20</v>
      </c>
      <c r="C311" t="s">
        <v>49</v>
      </c>
      <c r="D311" t="s">
        <v>34</v>
      </c>
      <c r="E311" t="s">
        <v>42</v>
      </c>
      <c r="F311" s="1">
        <v>27</v>
      </c>
      <c r="G311" t="s">
        <v>122</v>
      </c>
      <c r="H311" t="s">
        <v>40</v>
      </c>
      <c r="I311" t="s">
        <v>17</v>
      </c>
      <c r="J311" t="s">
        <v>18</v>
      </c>
      <c r="K311" t="str">
        <f t="shared" si="32"/>
        <v>Garbage Collection</v>
      </c>
      <c r="L311" t="s">
        <v>885</v>
      </c>
      <c r="M311" t="str">
        <f t="shared" si="33"/>
        <v>Garbage not collected for 3 days</v>
      </c>
      <c r="N311">
        <v>5</v>
      </c>
      <c r="O311" t="s">
        <v>37</v>
      </c>
      <c r="P311">
        <f t="shared" si="34"/>
        <v>3</v>
      </c>
      <c r="Q311" t="str">
        <f t="shared" si="35"/>
        <v>Delayed</v>
      </c>
      <c r="R311" t="str">
        <f t="shared" si="36"/>
        <v>Off311</v>
      </c>
      <c r="S311">
        <v>2</v>
      </c>
      <c r="T311">
        <v>40</v>
      </c>
      <c r="U311">
        <v>45736</v>
      </c>
      <c r="V311">
        <v>46028</v>
      </c>
      <c r="W311" t="str">
        <f t="shared" si="37"/>
        <v>Yes</v>
      </c>
      <c r="X311" t="str">
        <f t="shared" si="38"/>
        <v>Level 3</v>
      </c>
      <c r="Y311" s="2">
        <f t="shared" si="39"/>
        <v>45727</v>
      </c>
    </row>
    <row r="312" spans="1:25" x14ac:dyDescent="0.25">
      <c r="A312" t="s">
        <v>596</v>
      </c>
      <c r="B312" t="s">
        <v>60</v>
      </c>
      <c r="C312" t="s">
        <v>61</v>
      </c>
      <c r="D312" t="s">
        <v>13</v>
      </c>
      <c r="E312" t="s">
        <v>14</v>
      </c>
      <c r="F312" s="1">
        <v>23</v>
      </c>
      <c r="G312" t="s">
        <v>597</v>
      </c>
      <c r="H312" t="s">
        <v>58</v>
      </c>
      <c r="I312" t="s">
        <v>65</v>
      </c>
      <c r="J312" t="s">
        <v>18</v>
      </c>
      <c r="K312" t="str">
        <f t="shared" si="32"/>
        <v>General Complaint</v>
      </c>
      <c r="L312" t="s">
        <v>881</v>
      </c>
      <c r="M312" t="str">
        <f t="shared" si="33"/>
        <v>General complaint reported</v>
      </c>
      <c r="N312">
        <v>2</v>
      </c>
      <c r="O312" t="s">
        <v>18</v>
      </c>
      <c r="P312">
        <f t="shared" si="34"/>
        <v>15</v>
      </c>
      <c r="Q312" t="str">
        <f t="shared" si="35"/>
        <v>Delayed</v>
      </c>
      <c r="R312" t="str">
        <f t="shared" si="36"/>
        <v>Off312</v>
      </c>
      <c r="S312">
        <v>5</v>
      </c>
      <c r="T312">
        <v>35</v>
      </c>
      <c r="U312">
        <v>27635</v>
      </c>
      <c r="V312">
        <v>25642</v>
      </c>
      <c r="W312" t="str">
        <f t="shared" si="37"/>
        <v>Yes</v>
      </c>
      <c r="X312" t="str">
        <f t="shared" si="38"/>
        <v>Level 1</v>
      </c>
      <c r="Y312" s="2">
        <f t="shared" si="39"/>
        <v>46114</v>
      </c>
    </row>
    <row r="313" spans="1:25" x14ac:dyDescent="0.25">
      <c r="A313" t="s">
        <v>598</v>
      </c>
      <c r="B313" t="s">
        <v>11</v>
      </c>
      <c r="C313" t="s">
        <v>12</v>
      </c>
      <c r="D313" t="s">
        <v>34</v>
      </c>
      <c r="E313" t="s">
        <v>23</v>
      </c>
      <c r="F313" s="1">
        <v>26</v>
      </c>
      <c r="G313" t="s">
        <v>313</v>
      </c>
      <c r="H313" t="s">
        <v>16</v>
      </c>
      <c r="I313" t="s">
        <v>17</v>
      </c>
      <c r="J313" t="s">
        <v>18</v>
      </c>
      <c r="K313" t="str">
        <f t="shared" si="32"/>
        <v>Water Leakage</v>
      </c>
      <c r="L313" t="s">
        <v>882</v>
      </c>
      <c r="M313" t="str">
        <f t="shared" si="33"/>
        <v>Water pipe leakage near school</v>
      </c>
      <c r="N313">
        <v>1</v>
      </c>
      <c r="O313" t="s">
        <v>18</v>
      </c>
      <c r="P313">
        <f t="shared" si="34"/>
        <v>3</v>
      </c>
      <c r="Q313" t="str">
        <f t="shared" si="35"/>
        <v>Delayed</v>
      </c>
      <c r="R313" t="str">
        <f t="shared" si="36"/>
        <v>Off313</v>
      </c>
      <c r="S313">
        <v>2</v>
      </c>
      <c r="T313">
        <v>33</v>
      </c>
      <c r="U313">
        <v>9222</v>
      </c>
      <c r="V313">
        <v>9419</v>
      </c>
      <c r="W313" t="str">
        <f t="shared" si="37"/>
        <v>Yes</v>
      </c>
      <c r="X313" t="str">
        <f t="shared" si="38"/>
        <v>Level 3</v>
      </c>
      <c r="Y313" s="2">
        <f t="shared" si="39"/>
        <v>45823</v>
      </c>
    </row>
    <row r="314" spans="1:25" x14ac:dyDescent="0.25">
      <c r="A314" t="s">
        <v>599</v>
      </c>
      <c r="B314" t="s">
        <v>28</v>
      </c>
      <c r="C314" t="s">
        <v>49</v>
      </c>
      <c r="D314" t="s">
        <v>13</v>
      </c>
      <c r="E314" t="s">
        <v>30</v>
      </c>
      <c r="F314" s="1">
        <v>8</v>
      </c>
      <c r="G314" t="s">
        <v>466</v>
      </c>
      <c r="H314" t="s">
        <v>51</v>
      </c>
      <c r="I314" t="s">
        <v>26</v>
      </c>
      <c r="J314" t="s">
        <v>18</v>
      </c>
      <c r="K314" t="str">
        <f t="shared" si="32"/>
        <v>Road Damage</v>
      </c>
      <c r="L314" t="s">
        <v>883</v>
      </c>
      <c r="M314" t="str">
        <f t="shared" si="33"/>
        <v>Road damaged due to heavy rain</v>
      </c>
      <c r="N314">
        <v>5</v>
      </c>
      <c r="O314" t="s">
        <v>37</v>
      </c>
      <c r="P314">
        <f t="shared" si="34"/>
        <v>15</v>
      </c>
      <c r="Q314" t="str">
        <f t="shared" si="35"/>
        <v>Within SLA</v>
      </c>
      <c r="R314" t="str">
        <f t="shared" si="36"/>
        <v>Off314</v>
      </c>
      <c r="S314">
        <v>10</v>
      </c>
      <c r="T314">
        <v>44</v>
      </c>
      <c r="U314">
        <v>36992</v>
      </c>
      <c r="V314">
        <v>37859</v>
      </c>
      <c r="W314" t="str">
        <f t="shared" si="37"/>
        <v>No</v>
      </c>
      <c r="X314" t="str">
        <f t="shared" si="38"/>
        <v>None</v>
      </c>
      <c r="Y314" s="2">
        <f t="shared" si="39"/>
        <v>46162</v>
      </c>
    </row>
    <row r="315" spans="1:25" x14ac:dyDescent="0.25">
      <c r="A315" t="s">
        <v>600</v>
      </c>
      <c r="B315" t="s">
        <v>69</v>
      </c>
      <c r="C315" t="s">
        <v>12</v>
      </c>
      <c r="D315" t="s">
        <v>22</v>
      </c>
      <c r="E315" t="s">
        <v>42</v>
      </c>
      <c r="F315" s="1">
        <v>24</v>
      </c>
      <c r="G315" t="s">
        <v>601</v>
      </c>
      <c r="H315" t="s">
        <v>16</v>
      </c>
      <c r="I315" t="s">
        <v>17</v>
      </c>
      <c r="J315" t="s">
        <v>18</v>
      </c>
      <c r="K315" t="str">
        <f t="shared" si="32"/>
        <v>General Complaint</v>
      </c>
      <c r="L315" t="s">
        <v>884</v>
      </c>
      <c r="M315" t="str">
        <f t="shared" si="33"/>
        <v>General complaint reported</v>
      </c>
      <c r="N315">
        <v>2</v>
      </c>
      <c r="O315" t="s">
        <v>18</v>
      </c>
      <c r="P315">
        <f t="shared" si="34"/>
        <v>7</v>
      </c>
      <c r="Q315" t="str">
        <f t="shared" si="35"/>
        <v>Delayed</v>
      </c>
      <c r="R315" t="str">
        <f t="shared" si="36"/>
        <v>Off315</v>
      </c>
      <c r="S315">
        <v>6</v>
      </c>
      <c r="T315">
        <v>19</v>
      </c>
      <c r="U315">
        <v>35209</v>
      </c>
      <c r="V315">
        <v>35102</v>
      </c>
      <c r="W315" t="str">
        <f t="shared" si="37"/>
        <v>Yes</v>
      </c>
      <c r="X315" t="str">
        <f t="shared" si="38"/>
        <v>Level 2</v>
      </c>
      <c r="Y315" s="2">
        <f t="shared" si="39"/>
        <v>45826</v>
      </c>
    </row>
    <row r="316" spans="1:25" x14ac:dyDescent="0.25">
      <c r="A316" t="s">
        <v>602</v>
      </c>
      <c r="B316" t="s">
        <v>28</v>
      </c>
      <c r="C316" t="s">
        <v>84</v>
      </c>
      <c r="D316" t="s">
        <v>22</v>
      </c>
      <c r="E316" t="s">
        <v>14</v>
      </c>
      <c r="F316" s="1">
        <v>39</v>
      </c>
      <c r="G316" t="s">
        <v>236</v>
      </c>
      <c r="H316" t="s">
        <v>40</v>
      </c>
      <c r="I316" t="s">
        <v>65</v>
      </c>
      <c r="J316" t="s">
        <v>18</v>
      </c>
      <c r="K316" t="str">
        <f t="shared" si="32"/>
        <v>Road Damage</v>
      </c>
      <c r="L316" t="s">
        <v>885</v>
      </c>
      <c r="M316" t="str">
        <f t="shared" si="33"/>
        <v>Road damaged due to heavy rain</v>
      </c>
      <c r="N316">
        <v>3</v>
      </c>
      <c r="O316" t="s">
        <v>37</v>
      </c>
      <c r="P316">
        <f t="shared" si="34"/>
        <v>7</v>
      </c>
      <c r="Q316" t="str">
        <f t="shared" si="35"/>
        <v>Delayed</v>
      </c>
      <c r="R316" t="str">
        <f t="shared" si="36"/>
        <v>Off316</v>
      </c>
      <c r="S316">
        <v>6</v>
      </c>
      <c r="T316">
        <v>16</v>
      </c>
      <c r="U316">
        <v>38840</v>
      </c>
      <c r="V316">
        <v>37020</v>
      </c>
      <c r="W316" t="str">
        <f t="shared" si="37"/>
        <v>Yes</v>
      </c>
      <c r="X316" t="str">
        <f t="shared" si="38"/>
        <v>Level 2</v>
      </c>
      <c r="Y316" s="2">
        <f t="shared" si="39"/>
        <v>45862</v>
      </c>
    </row>
    <row r="317" spans="1:25" x14ac:dyDescent="0.25">
      <c r="A317" t="s">
        <v>603</v>
      </c>
      <c r="B317" t="s">
        <v>53</v>
      </c>
      <c r="C317" t="s">
        <v>29</v>
      </c>
      <c r="D317" t="s">
        <v>13</v>
      </c>
      <c r="E317" t="s">
        <v>30</v>
      </c>
      <c r="F317" s="1">
        <v>4</v>
      </c>
      <c r="G317" t="s">
        <v>604</v>
      </c>
      <c r="H317" t="s">
        <v>51</v>
      </c>
      <c r="I317" t="s">
        <v>65</v>
      </c>
      <c r="J317" t="s">
        <v>37</v>
      </c>
      <c r="K317" t="str">
        <f t="shared" si="32"/>
        <v>Public Transport Delay</v>
      </c>
      <c r="L317" t="s">
        <v>881</v>
      </c>
      <c r="M317" t="str">
        <f t="shared" si="33"/>
        <v>Bus arrival delay reported</v>
      </c>
      <c r="N317">
        <v>4</v>
      </c>
      <c r="O317" t="s">
        <v>37</v>
      </c>
      <c r="P317">
        <f t="shared" si="34"/>
        <v>15</v>
      </c>
      <c r="Q317" t="str">
        <f t="shared" si="35"/>
        <v>Within SLA</v>
      </c>
      <c r="R317" t="str">
        <f t="shared" si="36"/>
        <v>Off317</v>
      </c>
      <c r="S317">
        <v>9</v>
      </c>
      <c r="T317">
        <v>32</v>
      </c>
      <c r="U317">
        <v>2533</v>
      </c>
      <c r="V317">
        <v>3908</v>
      </c>
      <c r="W317" t="str">
        <f t="shared" si="37"/>
        <v>No</v>
      </c>
      <c r="X317" t="str">
        <f t="shared" si="38"/>
        <v>None</v>
      </c>
      <c r="Y317" s="2">
        <f t="shared" si="39"/>
        <v>46014</v>
      </c>
    </row>
    <row r="318" spans="1:25" x14ac:dyDescent="0.25">
      <c r="A318" t="s">
        <v>605</v>
      </c>
      <c r="B318" t="s">
        <v>11</v>
      </c>
      <c r="C318" t="s">
        <v>61</v>
      </c>
      <c r="D318" t="s">
        <v>34</v>
      </c>
      <c r="E318" t="s">
        <v>23</v>
      </c>
      <c r="F318" s="1">
        <v>19</v>
      </c>
      <c r="G318" t="s">
        <v>606</v>
      </c>
      <c r="H318" t="s">
        <v>25</v>
      </c>
      <c r="I318" t="s">
        <v>65</v>
      </c>
      <c r="J318" t="s">
        <v>18</v>
      </c>
      <c r="K318" t="str">
        <f t="shared" si="32"/>
        <v>Water Leakage</v>
      </c>
      <c r="L318" t="s">
        <v>882</v>
      </c>
      <c r="M318" t="str">
        <f t="shared" si="33"/>
        <v>Water pipe leakage near school</v>
      </c>
      <c r="N318">
        <v>5</v>
      </c>
      <c r="O318" t="s">
        <v>37</v>
      </c>
      <c r="P318">
        <f t="shared" si="34"/>
        <v>3</v>
      </c>
      <c r="Q318" t="str">
        <f t="shared" si="35"/>
        <v>Delayed</v>
      </c>
      <c r="R318" t="str">
        <f t="shared" si="36"/>
        <v>Off318</v>
      </c>
      <c r="S318">
        <v>15</v>
      </c>
      <c r="T318">
        <v>41</v>
      </c>
      <c r="U318">
        <v>47332</v>
      </c>
      <c r="V318">
        <v>46736</v>
      </c>
      <c r="W318" t="str">
        <f t="shared" si="37"/>
        <v>Yes</v>
      </c>
      <c r="X318" t="str">
        <f t="shared" si="38"/>
        <v>Level 3</v>
      </c>
      <c r="Y318" s="2">
        <f t="shared" si="39"/>
        <v>45986</v>
      </c>
    </row>
    <row r="319" spans="1:25" x14ac:dyDescent="0.25">
      <c r="A319" t="s">
        <v>607</v>
      </c>
      <c r="B319" t="s">
        <v>11</v>
      </c>
      <c r="C319" t="s">
        <v>84</v>
      </c>
      <c r="D319" t="s">
        <v>22</v>
      </c>
      <c r="E319" t="s">
        <v>23</v>
      </c>
      <c r="F319" s="1">
        <v>14</v>
      </c>
      <c r="G319" t="s">
        <v>608</v>
      </c>
      <c r="H319" t="s">
        <v>58</v>
      </c>
      <c r="I319" t="s">
        <v>65</v>
      </c>
      <c r="J319" t="s">
        <v>18</v>
      </c>
      <c r="K319" t="str">
        <f t="shared" si="32"/>
        <v>Water Leakage</v>
      </c>
      <c r="L319" t="s">
        <v>883</v>
      </c>
      <c r="M319" t="str">
        <f t="shared" si="33"/>
        <v>Water pipe leakage near school</v>
      </c>
      <c r="N319">
        <v>4</v>
      </c>
      <c r="O319" t="s">
        <v>37</v>
      </c>
      <c r="P319">
        <f t="shared" si="34"/>
        <v>7</v>
      </c>
      <c r="Q319" t="str">
        <f t="shared" si="35"/>
        <v>Delayed</v>
      </c>
      <c r="R319" t="str">
        <f t="shared" si="36"/>
        <v>Off319</v>
      </c>
      <c r="S319">
        <v>12</v>
      </c>
      <c r="T319">
        <v>31</v>
      </c>
      <c r="U319">
        <v>33800</v>
      </c>
      <c r="V319">
        <v>32463</v>
      </c>
      <c r="W319" t="str">
        <f t="shared" si="37"/>
        <v>Yes</v>
      </c>
      <c r="X319" t="str">
        <f t="shared" si="38"/>
        <v>Level 2</v>
      </c>
      <c r="Y319" s="2">
        <f t="shared" si="39"/>
        <v>45876</v>
      </c>
    </row>
    <row r="320" spans="1:25" x14ac:dyDescent="0.25">
      <c r="A320" t="s">
        <v>609</v>
      </c>
      <c r="B320" t="s">
        <v>69</v>
      </c>
      <c r="C320" t="s">
        <v>39</v>
      </c>
      <c r="D320" t="s">
        <v>13</v>
      </c>
      <c r="E320" t="s">
        <v>23</v>
      </c>
      <c r="F320" s="1">
        <v>3</v>
      </c>
      <c r="G320" t="s">
        <v>610</v>
      </c>
      <c r="H320" t="s">
        <v>40</v>
      </c>
      <c r="I320" t="s">
        <v>36</v>
      </c>
      <c r="J320" t="s">
        <v>37</v>
      </c>
      <c r="K320" t="str">
        <f t="shared" si="32"/>
        <v>General Complaint</v>
      </c>
      <c r="L320" t="s">
        <v>884</v>
      </c>
      <c r="M320" t="str">
        <f t="shared" si="33"/>
        <v>General complaint reported</v>
      </c>
      <c r="N320">
        <v>4</v>
      </c>
      <c r="O320" t="s">
        <v>37</v>
      </c>
      <c r="P320">
        <f t="shared" si="34"/>
        <v>15</v>
      </c>
      <c r="Q320" t="str">
        <f t="shared" si="35"/>
        <v>Within SLA</v>
      </c>
      <c r="R320" t="str">
        <f t="shared" si="36"/>
        <v>Off320</v>
      </c>
      <c r="S320">
        <v>3</v>
      </c>
      <c r="T320">
        <v>24</v>
      </c>
      <c r="U320">
        <v>39235</v>
      </c>
      <c r="V320">
        <v>37391</v>
      </c>
      <c r="W320" t="str">
        <f t="shared" si="37"/>
        <v>No</v>
      </c>
      <c r="X320" t="str">
        <f t="shared" si="38"/>
        <v>None</v>
      </c>
      <c r="Y320" s="2">
        <f t="shared" si="39"/>
        <v>45966</v>
      </c>
    </row>
    <row r="321" spans="1:25" x14ac:dyDescent="0.25">
      <c r="A321" t="s">
        <v>611</v>
      </c>
      <c r="B321" t="s">
        <v>11</v>
      </c>
      <c r="C321" t="s">
        <v>49</v>
      </c>
      <c r="D321" t="s">
        <v>13</v>
      </c>
      <c r="E321" t="s">
        <v>23</v>
      </c>
      <c r="F321" s="1">
        <v>10</v>
      </c>
      <c r="G321" t="s">
        <v>95</v>
      </c>
      <c r="H321" t="s">
        <v>16</v>
      </c>
      <c r="I321" t="s">
        <v>36</v>
      </c>
      <c r="J321" t="s">
        <v>18</v>
      </c>
      <c r="K321" t="str">
        <f t="shared" si="32"/>
        <v>Water Leakage</v>
      </c>
      <c r="L321" t="s">
        <v>885</v>
      </c>
      <c r="M321" t="str">
        <f t="shared" si="33"/>
        <v>Water pipe leakage near school</v>
      </c>
      <c r="N321">
        <v>3</v>
      </c>
      <c r="O321" t="s">
        <v>37</v>
      </c>
      <c r="P321">
        <f t="shared" si="34"/>
        <v>15</v>
      </c>
      <c r="Q321" t="str">
        <f t="shared" si="35"/>
        <v>Within SLA</v>
      </c>
      <c r="R321" t="str">
        <f t="shared" si="36"/>
        <v>Off321</v>
      </c>
      <c r="S321">
        <v>15</v>
      </c>
      <c r="T321">
        <v>11</v>
      </c>
      <c r="U321">
        <v>36931</v>
      </c>
      <c r="V321">
        <v>36308</v>
      </c>
      <c r="W321" t="str">
        <f t="shared" si="37"/>
        <v>No</v>
      </c>
      <c r="X321" t="str">
        <f t="shared" si="38"/>
        <v>None</v>
      </c>
      <c r="Y321" s="2">
        <f t="shared" si="39"/>
        <v>45675</v>
      </c>
    </row>
    <row r="322" spans="1:25" x14ac:dyDescent="0.25">
      <c r="A322" t="s">
        <v>612</v>
      </c>
      <c r="B322" t="s">
        <v>69</v>
      </c>
      <c r="C322" t="s">
        <v>29</v>
      </c>
      <c r="D322" t="s">
        <v>34</v>
      </c>
      <c r="E322" t="s">
        <v>42</v>
      </c>
      <c r="F322" s="1">
        <v>9</v>
      </c>
      <c r="G322" t="s">
        <v>613</v>
      </c>
      <c r="H322" t="s">
        <v>40</v>
      </c>
      <c r="I322" t="s">
        <v>44</v>
      </c>
      <c r="J322" t="s">
        <v>18</v>
      </c>
      <c r="K322" t="str">
        <f t="shared" si="32"/>
        <v>General Complaint</v>
      </c>
      <c r="L322" t="s">
        <v>881</v>
      </c>
      <c r="M322" t="str">
        <f t="shared" si="33"/>
        <v>General complaint reported</v>
      </c>
      <c r="N322">
        <v>5</v>
      </c>
      <c r="O322" t="s">
        <v>37</v>
      </c>
      <c r="P322">
        <f t="shared" si="34"/>
        <v>3</v>
      </c>
      <c r="Q322" t="str">
        <f t="shared" si="35"/>
        <v>Delayed</v>
      </c>
      <c r="R322" t="str">
        <f t="shared" si="36"/>
        <v>Off322</v>
      </c>
      <c r="S322">
        <v>14</v>
      </c>
      <c r="T322">
        <v>9</v>
      </c>
      <c r="U322">
        <v>43261</v>
      </c>
      <c r="V322">
        <v>43190</v>
      </c>
      <c r="W322" t="str">
        <f t="shared" si="37"/>
        <v>Yes</v>
      </c>
      <c r="X322" t="str">
        <f t="shared" si="38"/>
        <v>Level 3</v>
      </c>
      <c r="Y322" s="2">
        <f t="shared" si="39"/>
        <v>46065</v>
      </c>
    </row>
    <row r="323" spans="1:25" x14ac:dyDescent="0.25">
      <c r="A323" t="s">
        <v>614</v>
      </c>
      <c r="B323" t="s">
        <v>20</v>
      </c>
      <c r="C323" t="s">
        <v>56</v>
      </c>
      <c r="D323" t="s">
        <v>34</v>
      </c>
      <c r="E323" t="s">
        <v>14</v>
      </c>
      <c r="F323" s="1">
        <v>1</v>
      </c>
      <c r="G323" t="s">
        <v>220</v>
      </c>
      <c r="H323" t="s">
        <v>58</v>
      </c>
      <c r="I323" t="s">
        <v>65</v>
      </c>
      <c r="J323" t="s">
        <v>37</v>
      </c>
      <c r="K323" t="str">
        <f t="shared" ref="K323:K386" si="40">IF(B323="Water Supply","Water Leakage",
IF(B323="Roads","Road Damage",
IF(B323="Municipal Services","Garbage Collection",
IF(B323="Electricity","Street Light Failure",
IF(B323="Public Transport","Public Transport Delay","General Complaint")))))</f>
        <v>Garbage Collection</v>
      </c>
      <c r="L323" t="s">
        <v>882</v>
      </c>
      <c r="M323" t="str">
        <f t="shared" ref="M323:M386" si="41">IF(K323="Water Leakage","Water pipe leakage near school",
IF(K323="Road Damage","Road damaged due to heavy rain",
IF(K323="Garbage Collection","Garbage not collected for 3 days",
IF(K323="Street Light Failure","Street light not working in residential area",
IF(K323="Public Transport Delay","Bus arrival delay reported",
"General complaint reported")))))</f>
        <v>Garbage not collected for 3 days</v>
      </c>
      <c r="N323">
        <v>4</v>
      </c>
      <c r="O323" t="s">
        <v>37</v>
      </c>
      <c r="P323">
        <f t="shared" ref="P323:P386" si="42">IF(D323="High",3,
IF(D323="Medium",7,15))</f>
        <v>3</v>
      </c>
      <c r="Q323" t="str">
        <f t="shared" ref="Q323:Q386" si="43">IF(F323&lt;=P323,"Within SLA","Delayed")</f>
        <v>Within SLA</v>
      </c>
      <c r="R323" t="str">
        <f t="shared" ref="R323:R386" si="44">"Off"&amp;TEXT(ROW(A323),"000")</f>
        <v>Off323</v>
      </c>
      <c r="S323">
        <v>13</v>
      </c>
      <c r="T323">
        <v>41</v>
      </c>
      <c r="U323">
        <v>25187</v>
      </c>
      <c r="V323">
        <v>25066</v>
      </c>
      <c r="W323" t="str">
        <f t="shared" ref="W323:W386" si="45">IF(F323&gt;P323,"Yes","No")</f>
        <v>No</v>
      </c>
      <c r="X323" t="str">
        <f t="shared" ref="X323:X386" si="46">IF(W323="No","None",
IF(D323="High","Level 3",
IF(D323="Medium","Level 2","Level 1")))</f>
        <v>None</v>
      </c>
      <c r="Y323" s="2">
        <f t="shared" ref="Y323:Y386" si="47">G323+F323</f>
        <v>45754</v>
      </c>
    </row>
    <row r="324" spans="1:25" x14ac:dyDescent="0.25">
      <c r="A324" t="s">
        <v>615</v>
      </c>
      <c r="B324" t="s">
        <v>60</v>
      </c>
      <c r="C324" t="s">
        <v>33</v>
      </c>
      <c r="D324" t="s">
        <v>13</v>
      </c>
      <c r="E324" t="s">
        <v>30</v>
      </c>
      <c r="F324" s="1">
        <v>21</v>
      </c>
      <c r="G324" t="s">
        <v>616</v>
      </c>
      <c r="H324" t="s">
        <v>16</v>
      </c>
      <c r="I324" t="s">
        <v>26</v>
      </c>
      <c r="J324" t="s">
        <v>18</v>
      </c>
      <c r="K324" t="str">
        <f t="shared" si="40"/>
        <v>General Complaint</v>
      </c>
      <c r="L324" t="s">
        <v>883</v>
      </c>
      <c r="M324" t="str">
        <f t="shared" si="41"/>
        <v>General complaint reported</v>
      </c>
      <c r="N324">
        <v>3</v>
      </c>
      <c r="O324" t="s">
        <v>37</v>
      </c>
      <c r="P324">
        <f t="shared" si="42"/>
        <v>15</v>
      </c>
      <c r="Q324" t="str">
        <f t="shared" si="43"/>
        <v>Delayed</v>
      </c>
      <c r="R324" t="str">
        <f t="shared" si="44"/>
        <v>Off324</v>
      </c>
      <c r="S324">
        <v>9</v>
      </c>
      <c r="T324">
        <v>11</v>
      </c>
      <c r="U324">
        <v>42246</v>
      </c>
      <c r="V324">
        <v>41104</v>
      </c>
      <c r="W324" t="str">
        <f t="shared" si="45"/>
        <v>Yes</v>
      </c>
      <c r="X324" t="str">
        <f t="shared" si="46"/>
        <v>Level 1</v>
      </c>
      <c r="Y324" s="2">
        <f t="shared" si="47"/>
        <v>45698</v>
      </c>
    </row>
    <row r="325" spans="1:25" x14ac:dyDescent="0.25">
      <c r="A325" t="s">
        <v>617</v>
      </c>
      <c r="B325" t="s">
        <v>53</v>
      </c>
      <c r="C325" t="s">
        <v>56</v>
      </c>
      <c r="D325" t="s">
        <v>22</v>
      </c>
      <c r="E325" t="s">
        <v>23</v>
      </c>
      <c r="F325" s="1">
        <v>22</v>
      </c>
      <c r="G325" t="s">
        <v>618</v>
      </c>
      <c r="H325" t="s">
        <v>40</v>
      </c>
      <c r="I325" t="s">
        <v>44</v>
      </c>
      <c r="J325" t="s">
        <v>18</v>
      </c>
      <c r="K325" t="str">
        <f t="shared" si="40"/>
        <v>Public Transport Delay</v>
      </c>
      <c r="L325" t="s">
        <v>884</v>
      </c>
      <c r="M325" t="str">
        <f t="shared" si="41"/>
        <v>Bus arrival delay reported</v>
      </c>
      <c r="N325">
        <v>1</v>
      </c>
      <c r="O325" t="s">
        <v>18</v>
      </c>
      <c r="P325">
        <f t="shared" si="42"/>
        <v>7</v>
      </c>
      <c r="Q325" t="str">
        <f t="shared" si="43"/>
        <v>Delayed</v>
      </c>
      <c r="R325" t="str">
        <f t="shared" si="44"/>
        <v>Off325</v>
      </c>
      <c r="S325">
        <v>10</v>
      </c>
      <c r="T325">
        <v>21</v>
      </c>
      <c r="U325">
        <v>35489</v>
      </c>
      <c r="V325">
        <v>35789</v>
      </c>
      <c r="W325" t="str">
        <f t="shared" si="45"/>
        <v>Yes</v>
      </c>
      <c r="X325" t="str">
        <f t="shared" si="46"/>
        <v>Level 2</v>
      </c>
      <c r="Y325" s="2">
        <f t="shared" si="47"/>
        <v>46137</v>
      </c>
    </row>
    <row r="326" spans="1:25" x14ac:dyDescent="0.25">
      <c r="A326" t="s">
        <v>619</v>
      </c>
      <c r="B326" t="s">
        <v>28</v>
      </c>
      <c r="C326" t="s">
        <v>84</v>
      </c>
      <c r="D326" t="s">
        <v>22</v>
      </c>
      <c r="E326" t="s">
        <v>14</v>
      </c>
      <c r="F326" s="1">
        <v>36</v>
      </c>
      <c r="G326" t="s">
        <v>613</v>
      </c>
      <c r="H326" t="s">
        <v>51</v>
      </c>
      <c r="I326" t="s">
        <v>65</v>
      </c>
      <c r="J326" t="s">
        <v>18</v>
      </c>
      <c r="K326" t="str">
        <f t="shared" si="40"/>
        <v>Road Damage</v>
      </c>
      <c r="L326" t="s">
        <v>885</v>
      </c>
      <c r="M326" t="str">
        <f t="shared" si="41"/>
        <v>Road damaged due to heavy rain</v>
      </c>
      <c r="N326">
        <v>4</v>
      </c>
      <c r="O326" t="s">
        <v>37</v>
      </c>
      <c r="P326">
        <f t="shared" si="42"/>
        <v>7</v>
      </c>
      <c r="Q326" t="str">
        <f t="shared" si="43"/>
        <v>Delayed</v>
      </c>
      <c r="R326" t="str">
        <f t="shared" si="44"/>
        <v>Off326</v>
      </c>
      <c r="S326">
        <v>13</v>
      </c>
      <c r="T326">
        <v>28</v>
      </c>
      <c r="U326">
        <v>40153</v>
      </c>
      <c r="V326">
        <v>38357</v>
      </c>
      <c r="W326" t="str">
        <f t="shared" si="45"/>
        <v>Yes</v>
      </c>
      <c r="X326" t="str">
        <f t="shared" si="46"/>
        <v>Level 2</v>
      </c>
      <c r="Y326" s="2">
        <f t="shared" si="47"/>
        <v>46092</v>
      </c>
    </row>
    <row r="327" spans="1:25" x14ac:dyDescent="0.25">
      <c r="A327" t="s">
        <v>620</v>
      </c>
      <c r="B327" t="s">
        <v>69</v>
      </c>
      <c r="C327" t="s">
        <v>33</v>
      </c>
      <c r="D327" t="s">
        <v>22</v>
      </c>
      <c r="E327" t="s">
        <v>23</v>
      </c>
      <c r="F327" s="1">
        <v>22</v>
      </c>
      <c r="G327" t="s">
        <v>621</v>
      </c>
      <c r="H327" t="s">
        <v>51</v>
      </c>
      <c r="I327" t="s">
        <v>44</v>
      </c>
      <c r="J327" t="s">
        <v>18</v>
      </c>
      <c r="K327" t="str">
        <f t="shared" si="40"/>
        <v>General Complaint</v>
      </c>
      <c r="L327" t="s">
        <v>881</v>
      </c>
      <c r="M327" t="str">
        <f t="shared" si="41"/>
        <v>General complaint reported</v>
      </c>
      <c r="N327">
        <v>4</v>
      </c>
      <c r="O327" t="s">
        <v>37</v>
      </c>
      <c r="P327">
        <f t="shared" si="42"/>
        <v>7</v>
      </c>
      <c r="Q327" t="str">
        <f t="shared" si="43"/>
        <v>Delayed</v>
      </c>
      <c r="R327" t="str">
        <f t="shared" si="44"/>
        <v>Off327</v>
      </c>
      <c r="S327">
        <v>8</v>
      </c>
      <c r="T327">
        <v>8</v>
      </c>
      <c r="U327">
        <v>48909</v>
      </c>
      <c r="V327">
        <v>47432</v>
      </c>
      <c r="W327" t="str">
        <f t="shared" si="45"/>
        <v>Yes</v>
      </c>
      <c r="X327" t="str">
        <f t="shared" si="46"/>
        <v>Level 2</v>
      </c>
      <c r="Y327" s="2">
        <f t="shared" si="47"/>
        <v>45996</v>
      </c>
    </row>
    <row r="328" spans="1:25" x14ac:dyDescent="0.25">
      <c r="A328" t="s">
        <v>622</v>
      </c>
      <c r="B328" t="s">
        <v>69</v>
      </c>
      <c r="C328" t="s">
        <v>84</v>
      </c>
      <c r="D328" t="s">
        <v>13</v>
      </c>
      <c r="E328" t="s">
        <v>30</v>
      </c>
      <c r="F328" s="1">
        <v>24</v>
      </c>
      <c r="G328" t="s">
        <v>527</v>
      </c>
      <c r="H328" t="s">
        <v>16</v>
      </c>
      <c r="I328" t="s">
        <v>26</v>
      </c>
      <c r="J328" t="s">
        <v>18</v>
      </c>
      <c r="K328" t="str">
        <f t="shared" si="40"/>
        <v>General Complaint</v>
      </c>
      <c r="L328" t="s">
        <v>882</v>
      </c>
      <c r="M328" t="str">
        <f t="shared" si="41"/>
        <v>General complaint reported</v>
      </c>
      <c r="N328">
        <v>1</v>
      </c>
      <c r="O328" t="s">
        <v>18</v>
      </c>
      <c r="P328">
        <f t="shared" si="42"/>
        <v>15</v>
      </c>
      <c r="Q328" t="str">
        <f t="shared" si="43"/>
        <v>Delayed</v>
      </c>
      <c r="R328" t="str">
        <f t="shared" si="44"/>
        <v>Off328</v>
      </c>
      <c r="S328">
        <v>2</v>
      </c>
      <c r="T328">
        <v>35</v>
      </c>
      <c r="U328">
        <v>42500</v>
      </c>
      <c r="V328">
        <v>42167</v>
      </c>
      <c r="W328" t="str">
        <f t="shared" si="45"/>
        <v>Yes</v>
      </c>
      <c r="X328" t="str">
        <f t="shared" si="46"/>
        <v>Level 1</v>
      </c>
      <c r="Y328" s="2">
        <f t="shared" si="47"/>
        <v>45854</v>
      </c>
    </row>
    <row r="329" spans="1:25" x14ac:dyDescent="0.25">
      <c r="A329" t="s">
        <v>623</v>
      </c>
      <c r="B329" t="s">
        <v>60</v>
      </c>
      <c r="C329" t="s">
        <v>61</v>
      </c>
      <c r="D329" t="s">
        <v>34</v>
      </c>
      <c r="E329" t="s">
        <v>30</v>
      </c>
      <c r="F329" s="1">
        <v>1</v>
      </c>
      <c r="G329" t="s">
        <v>624</v>
      </c>
      <c r="H329" t="s">
        <v>16</v>
      </c>
      <c r="I329" t="s">
        <v>44</v>
      </c>
      <c r="J329" t="s">
        <v>37</v>
      </c>
      <c r="K329" t="str">
        <f t="shared" si="40"/>
        <v>General Complaint</v>
      </c>
      <c r="L329" t="s">
        <v>883</v>
      </c>
      <c r="M329" t="str">
        <f t="shared" si="41"/>
        <v>General complaint reported</v>
      </c>
      <c r="N329">
        <v>1</v>
      </c>
      <c r="O329" t="s">
        <v>18</v>
      </c>
      <c r="P329">
        <f t="shared" si="42"/>
        <v>3</v>
      </c>
      <c r="Q329" t="str">
        <f t="shared" si="43"/>
        <v>Within SLA</v>
      </c>
      <c r="R329" t="str">
        <f t="shared" si="44"/>
        <v>Off329</v>
      </c>
      <c r="S329">
        <v>10</v>
      </c>
      <c r="T329">
        <v>40</v>
      </c>
      <c r="U329">
        <v>14410</v>
      </c>
      <c r="V329">
        <v>15074</v>
      </c>
      <c r="W329" t="str">
        <f t="shared" si="45"/>
        <v>No</v>
      </c>
      <c r="X329" t="str">
        <f t="shared" si="46"/>
        <v>None</v>
      </c>
      <c r="Y329" s="2">
        <f t="shared" si="47"/>
        <v>45788</v>
      </c>
    </row>
    <row r="330" spans="1:25" x14ac:dyDescent="0.25">
      <c r="A330" t="s">
        <v>625</v>
      </c>
      <c r="B330" t="s">
        <v>11</v>
      </c>
      <c r="C330" t="s">
        <v>21</v>
      </c>
      <c r="D330" t="s">
        <v>13</v>
      </c>
      <c r="E330" t="s">
        <v>42</v>
      </c>
      <c r="F330" s="1">
        <v>19</v>
      </c>
      <c r="G330" t="s">
        <v>626</v>
      </c>
      <c r="H330" t="s">
        <v>47</v>
      </c>
      <c r="I330" t="s">
        <v>26</v>
      </c>
      <c r="J330" t="s">
        <v>18</v>
      </c>
      <c r="K330" t="str">
        <f t="shared" si="40"/>
        <v>Water Leakage</v>
      </c>
      <c r="L330" t="s">
        <v>884</v>
      </c>
      <c r="M330" t="str">
        <f t="shared" si="41"/>
        <v>Water pipe leakage near school</v>
      </c>
      <c r="N330">
        <v>1</v>
      </c>
      <c r="O330" t="s">
        <v>18</v>
      </c>
      <c r="P330">
        <f t="shared" si="42"/>
        <v>15</v>
      </c>
      <c r="Q330" t="str">
        <f t="shared" si="43"/>
        <v>Delayed</v>
      </c>
      <c r="R330" t="str">
        <f t="shared" si="44"/>
        <v>Off330</v>
      </c>
      <c r="S330">
        <v>9</v>
      </c>
      <c r="T330">
        <v>18</v>
      </c>
      <c r="U330">
        <v>19885</v>
      </c>
      <c r="V330">
        <v>21094</v>
      </c>
      <c r="W330" t="str">
        <f t="shared" si="45"/>
        <v>Yes</v>
      </c>
      <c r="X330" t="str">
        <f t="shared" si="46"/>
        <v>Level 1</v>
      </c>
      <c r="Y330" s="2">
        <f t="shared" si="47"/>
        <v>45857</v>
      </c>
    </row>
    <row r="331" spans="1:25" x14ac:dyDescent="0.25">
      <c r="A331" t="s">
        <v>627</v>
      </c>
      <c r="B331" t="s">
        <v>60</v>
      </c>
      <c r="C331" t="s">
        <v>56</v>
      </c>
      <c r="D331" t="s">
        <v>34</v>
      </c>
      <c r="E331" t="s">
        <v>23</v>
      </c>
      <c r="F331" s="1">
        <v>1</v>
      </c>
      <c r="G331" t="s">
        <v>558</v>
      </c>
      <c r="H331" t="s">
        <v>58</v>
      </c>
      <c r="I331" t="s">
        <v>17</v>
      </c>
      <c r="J331" t="s">
        <v>37</v>
      </c>
      <c r="K331" t="str">
        <f t="shared" si="40"/>
        <v>General Complaint</v>
      </c>
      <c r="L331" t="s">
        <v>885</v>
      </c>
      <c r="M331" t="str">
        <f t="shared" si="41"/>
        <v>General complaint reported</v>
      </c>
      <c r="N331">
        <v>1</v>
      </c>
      <c r="O331" t="s">
        <v>18</v>
      </c>
      <c r="P331">
        <f t="shared" si="42"/>
        <v>3</v>
      </c>
      <c r="Q331" t="str">
        <f t="shared" si="43"/>
        <v>Within SLA</v>
      </c>
      <c r="R331" t="str">
        <f t="shared" si="44"/>
        <v>Off331</v>
      </c>
      <c r="S331">
        <v>3</v>
      </c>
      <c r="T331">
        <v>18</v>
      </c>
      <c r="U331">
        <v>28615</v>
      </c>
      <c r="V331">
        <v>30556</v>
      </c>
      <c r="W331" t="str">
        <f t="shared" si="45"/>
        <v>No</v>
      </c>
      <c r="X331" t="str">
        <f t="shared" si="46"/>
        <v>None</v>
      </c>
      <c r="Y331" s="2">
        <f t="shared" si="47"/>
        <v>45928</v>
      </c>
    </row>
    <row r="332" spans="1:25" x14ac:dyDescent="0.25">
      <c r="A332" t="s">
        <v>628</v>
      </c>
      <c r="B332" t="s">
        <v>20</v>
      </c>
      <c r="C332" t="s">
        <v>84</v>
      </c>
      <c r="D332" t="s">
        <v>34</v>
      </c>
      <c r="E332" t="s">
        <v>14</v>
      </c>
      <c r="F332" s="1">
        <v>19</v>
      </c>
      <c r="G332" t="s">
        <v>629</v>
      </c>
      <c r="H332" t="s">
        <v>58</v>
      </c>
      <c r="I332" t="s">
        <v>36</v>
      </c>
      <c r="J332" t="s">
        <v>18</v>
      </c>
      <c r="K332" t="str">
        <f t="shared" si="40"/>
        <v>Garbage Collection</v>
      </c>
      <c r="L332" t="s">
        <v>881</v>
      </c>
      <c r="M332" t="str">
        <f t="shared" si="41"/>
        <v>Garbage not collected for 3 days</v>
      </c>
      <c r="N332">
        <v>4</v>
      </c>
      <c r="O332" t="s">
        <v>37</v>
      </c>
      <c r="P332">
        <f t="shared" si="42"/>
        <v>3</v>
      </c>
      <c r="Q332" t="str">
        <f t="shared" si="43"/>
        <v>Delayed</v>
      </c>
      <c r="R332" t="str">
        <f t="shared" si="44"/>
        <v>Off332</v>
      </c>
      <c r="S332">
        <v>14</v>
      </c>
      <c r="T332">
        <v>19</v>
      </c>
      <c r="U332">
        <v>35629</v>
      </c>
      <c r="V332">
        <v>37157</v>
      </c>
      <c r="W332" t="str">
        <f t="shared" si="45"/>
        <v>Yes</v>
      </c>
      <c r="X332" t="str">
        <f t="shared" si="46"/>
        <v>Level 3</v>
      </c>
      <c r="Y332" s="2">
        <f t="shared" si="47"/>
        <v>46128</v>
      </c>
    </row>
    <row r="333" spans="1:25" x14ac:dyDescent="0.25">
      <c r="A333" t="s">
        <v>630</v>
      </c>
      <c r="B333" t="s">
        <v>28</v>
      </c>
      <c r="C333" t="s">
        <v>39</v>
      </c>
      <c r="D333" t="s">
        <v>22</v>
      </c>
      <c r="E333" t="s">
        <v>42</v>
      </c>
      <c r="F333" s="1">
        <v>4</v>
      </c>
      <c r="G333" t="s">
        <v>631</v>
      </c>
      <c r="H333" t="s">
        <v>51</v>
      </c>
      <c r="I333" t="s">
        <v>26</v>
      </c>
      <c r="J333" t="s">
        <v>37</v>
      </c>
      <c r="K333" t="str">
        <f t="shared" si="40"/>
        <v>Road Damage</v>
      </c>
      <c r="L333" t="s">
        <v>882</v>
      </c>
      <c r="M333" t="str">
        <f t="shared" si="41"/>
        <v>Road damaged due to heavy rain</v>
      </c>
      <c r="N333">
        <v>4</v>
      </c>
      <c r="O333" t="s">
        <v>37</v>
      </c>
      <c r="P333">
        <f t="shared" si="42"/>
        <v>7</v>
      </c>
      <c r="Q333" t="str">
        <f t="shared" si="43"/>
        <v>Within SLA</v>
      </c>
      <c r="R333" t="str">
        <f t="shared" si="44"/>
        <v>Off333</v>
      </c>
      <c r="S333">
        <v>10</v>
      </c>
      <c r="T333">
        <v>21</v>
      </c>
      <c r="U333">
        <v>42356</v>
      </c>
      <c r="V333">
        <v>41439</v>
      </c>
      <c r="W333" t="str">
        <f t="shared" si="45"/>
        <v>No</v>
      </c>
      <c r="X333" t="str">
        <f t="shared" si="46"/>
        <v>None</v>
      </c>
      <c r="Y333" s="2">
        <f t="shared" si="47"/>
        <v>46093</v>
      </c>
    </row>
    <row r="334" spans="1:25" x14ac:dyDescent="0.25">
      <c r="A334" t="s">
        <v>632</v>
      </c>
      <c r="B334" t="s">
        <v>28</v>
      </c>
      <c r="C334" t="s">
        <v>21</v>
      </c>
      <c r="D334" t="s">
        <v>22</v>
      </c>
      <c r="E334" t="s">
        <v>30</v>
      </c>
      <c r="F334" s="1">
        <v>20</v>
      </c>
      <c r="G334" t="s">
        <v>490</v>
      </c>
      <c r="H334" t="s">
        <v>25</v>
      </c>
      <c r="I334" t="s">
        <v>36</v>
      </c>
      <c r="J334" t="s">
        <v>18</v>
      </c>
      <c r="K334" t="str">
        <f t="shared" si="40"/>
        <v>Road Damage</v>
      </c>
      <c r="L334" t="s">
        <v>883</v>
      </c>
      <c r="M334" t="str">
        <f t="shared" si="41"/>
        <v>Road damaged due to heavy rain</v>
      </c>
      <c r="N334">
        <v>3</v>
      </c>
      <c r="O334" t="s">
        <v>37</v>
      </c>
      <c r="P334">
        <f t="shared" si="42"/>
        <v>7</v>
      </c>
      <c r="Q334" t="str">
        <f t="shared" si="43"/>
        <v>Delayed</v>
      </c>
      <c r="R334" t="str">
        <f t="shared" si="44"/>
        <v>Off334</v>
      </c>
      <c r="S334">
        <v>11</v>
      </c>
      <c r="T334">
        <v>22</v>
      </c>
      <c r="U334">
        <v>9473</v>
      </c>
      <c r="V334">
        <v>11068</v>
      </c>
      <c r="W334" t="str">
        <f t="shared" si="45"/>
        <v>Yes</v>
      </c>
      <c r="X334" t="str">
        <f t="shared" si="46"/>
        <v>Level 2</v>
      </c>
      <c r="Y334" s="2">
        <f t="shared" si="47"/>
        <v>45919</v>
      </c>
    </row>
    <row r="335" spans="1:25" x14ac:dyDescent="0.25">
      <c r="A335" t="s">
        <v>633</v>
      </c>
      <c r="B335" t="s">
        <v>11</v>
      </c>
      <c r="C335" t="s">
        <v>12</v>
      </c>
      <c r="D335" t="s">
        <v>13</v>
      </c>
      <c r="E335" t="s">
        <v>23</v>
      </c>
      <c r="F335" s="1">
        <v>1</v>
      </c>
      <c r="G335" t="s">
        <v>468</v>
      </c>
      <c r="H335" t="s">
        <v>16</v>
      </c>
      <c r="I335" t="s">
        <v>26</v>
      </c>
      <c r="J335" t="s">
        <v>37</v>
      </c>
      <c r="K335" t="str">
        <f t="shared" si="40"/>
        <v>Water Leakage</v>
      </c>
      <c r="L335" t="s">
        <v>884</v>
      </c>
      <c r="M335" t="str">
        <f t="shared" si="41"/>
        <v>Water pipe leakage near school</v>
      </c>
      <c r="N335">
        <v>5</v>
      </c>
      <c r="O335" t="s">
        <v>37</v>
      </c>
      <c r="P335">
        <f t="shared" si="42"/>
        <v>15</v>
      </c>
      <c r="Q335" t="str">
        <f t="shared" si="43"/>
        <v>Within SLA</v>
      </c>
      <c r="R335" t="str">
        <f t="shared" si="44"/>
        <v>Off335</v>
      </c>
      <c r="S335">
        <v>13</v>
      </c>
      <c r="T335">
        <v>33</v>
      </c>
      <c r="U335">
        <v>28904</v>
      </c>
      <c r="V335">
        <v>28137</v>
      </c>
      <c r="W335" t="str">
        <f t="shared" si="45"/>
        <v>No</v>
      </c>
      <c r="X335" t="str">
        <f t="shared" si="46"/>
        <v>None</v>
      </c>
      <c r="Y335" s="2">
        <f t="shared" si="47"/>
        <v>45963</v>
      </c>
    </row>
    <row r="336" spans="1:25" x14ac:dyDescent="0.25">
      <c r="A336" t="s">
        <v>634</v>
      </c>
      <c r="B336" t="s">
        <v>11</v>
      </c>
      <c r="C336" t="s">
        <v>76</v>
      </c>
      <c r="D336" t="s">
        <v>34</v>
      </c>
      <c r="E336" t="s">
        <v>42</v>
      </c>
      <c r="F336" s="1">
        <v>17</v>
      </c>
      <c r="G336" t="s">
        <v>635</v>
      </c>
      <c r="H336" t="s">
        <v>47</v>
      </c>
      <c r="I336" t="s">
        <v>17</v>
      </c>
      <c r="J336" t="s">
        <v>18</v>
      </c>
      <c r="K336" t="str">
        <f t="shared" si="40"/>
        <v>Water Leakage</v>
      </c>
      <c r="L336" t="s">
        <v>885</v>
      </c>
      <c r="M336" t="str">
        <f t="shared" si="41"/>
        <v>Water pipe leakage near school</v>
      </c>
      <c r="N336">
        <v>1</v>
      </c>
      <c r="O336" t="s">
        <v>18</v>
      </c>
      <c r="P336">
        <f t="shared" si="42"/>
        <v>3</v>
      </c>
      <c r="Q336" t="str">
        <f t="shared" si="43"/>
        <v>Delayed</v>
      </c>
      <c r="R336" t="str">
        <f t="shared" si="44"/>
        <v>Off336</v>
      </c>
      <c r="S336">
        <v>3</v>
      </c>
      <c r="T336">
        <v>33</v>
      </c>
      <c r="U336">
        <v>25634</v>
      </c>
      <c r="V336">
        <v>27076</v>
      </c>
      <c r="W336" t="str">
        <f t="shared" si="45"/>
        <v>Yes</v>
      </c>
      <c r="X336" t="str">
        <f t="shared" si="46"/>
        <v>Level 3</v>
      </c>
      <c r="Y336" s="2">
        <f t="shared" si="47"/>
        <v>45941</v>
      </c>
    </row>
    <row r="337" spans="1:25" x14ac:dyDescent="0.25">
      <c r="A337" t="s">
        <v>636</v>
      </c>
      <c r="B337" t="s">
        <v>60</v>
      </c>
      <c r="C337" t="s">
        <v>21</v>
      </c>
      <c r="D337" t="s">
        <v>34</v>
      </c>
      <c r="E337" t="s">
        <v>23</v>
      </c>
      <c r="F337" s="1">
        <v>26</v>
      </c>
      <c r="G337" t="s">
        <v>637</v>
      </c>
      <c r="H337" t="s">
        <v>25</v>
      </c>
      <c r="I337" t="s">
        <v>44</v>
      </c>
      <c r="J337" t="s">
        <v>18</v>
      </c>
      <c r="K337" t="str">
        <f t="shared" si="40"/>
        <v>General Complaint</v>
      </c>
      <c r="L337" t="s">
        <v>881</v>
      </c>
      <c r="M337" t="str">
        <f t="shared" si="41"/>
        <v>General complaint reported</v>
      </c>
      <c r="N337">
        <v>5</v>
      </c>
      <c r="O337" t="s">
        <v>37</v>
      </c>
      <c r="P337">
        <f t="shared" si="42"/>
        <v>3</v>
      </c>
      <c r="Q337" t="str">
        <f t="shared" si="43"/>
        <v>Delayed</v>
      </c>
      <c r="R337" t="str">
        <f t="shared" si="44"/>
        <v>Off337</v>
      </c>
      <c r="S337">
        <v>11</v>
      </c>
      <c r="T337">
        <v>13</v>
      </c>
      <c r="U337">
        <v>20533</v>
      </c>
      <c r="V337">
        <v>20056</v>
      </c>
      <c r="W337" t="str">
        <f t="shared" si="45"/>
        <v>Yes</v>
      </c>
      <c r="X337" t="str">
        <f t="shared" si="46"/>
        <v>Level 3</v>
      </c>
      <c r="Y337" s="2">
        <f t="shared" si="47"/>
        <v>45985</v>
      </c>
    </row>
    <row r="338" spans="1:25" x14ac:dyDescent="0.25">
      <c r="A338" t="s">
        <v>638</v>
      </c>
      <c r="B338" t="s">
        <v>69</v>
      </c>
      <c r="C338" t="s">
        <v>21</v>
      </c>
      <c r="D338" t="s">
        <v>22</v>
      </c>
      <c r="E338" t="s">
        <v>30</v>
      </c>
      <c r="F338" s="1">
        <v>36</v>
      </c>
      <c r="G338" t="s">
        <v>639</v>
      </c>
      <c r="H338" t="s">
        <v>40</v>
      </c>
      <c r="I338" t="s">
        <v>36</v>
      </c>
      <c r="J338" t="s">
        <v>18</v>
      </c>
      <c r="K338" t="str">
        <f t="shared" si="40"/>
        <v>General Complaint</v>
      </c>
      <c r="L338" t="s">
        <v>882</v>
      </c>
      <c r="M338" t="str">
        <f t="shared" si="41"/>
        <v>General complaint reported</v>
      </c>
      <c r="N338">
        <v>2</v>
      </c>
      <c r="O338" t="s">
        <v>18</v>
      </c>
      <c r="P338">
        <f t="shared" si="42"/>
        <v>7</v>
      </c>
      <c r="Q338" t="str">
        <f t="shared" si="43"/>
        <v>Delayed</v>
      </c>
      <c r="R338" t="str">
        <f t="shared" si="44"/>
        <v>Off338</v>
      </c>
      <c r="S338">
        <v>6</v>
      </c>
      <c r="T338">
        <v>49</v>
      </c>
      <c r="U338">
        <v>27148</v>
      </c>
      <c r="V338">
        <v>28131</v>
      </c>
      <c r="W338" t="str">
        <f t="shared" si="45"/>
        <v>Yes</v>
      </c>
      <c r="X338" t="str">
        <f t="shared" si="46"/>
        <v>Level 2</v>
      </c>
      <c r="Y338" s="2">
        <f t="shared" si="47"/>
        <v>46219</v>
      </c>
    </row>
    <row r="339" spans="1:25" x14ac:dyDescent="0.25">
      <c r="A339" t="s">
        <v>640</v>
      </c>
      <c r="B339" t="s">
        <v>20</v>
      </c>
      <c r="C339" t="s">
        <v>56</v>
      </c>
      <c r="D339" t="s">
        <v>13</v>
      </c>
      <c r="E339" t="s">
        <v>23</v>
      </c>
      <c r="F339" s="1">
        <v>9</v>
      </c>
      <c r="G339" t="s">
        <v>529</v>
      </c>
      <c r="H339" t="s">
        <v>16</v>
      </c>
      <c r="I339" t="s">
        <v>17</v>
      </c>
      <c r="J339" t="s">
        <v>18</v>
      </c>
      <c r="K339" t="str">
        <f t="shared" si="40"/>
        <v>Garbage Collection</v>
      </c>
      <c r="L339" t="s">
        <v>883</v>
      </c>
      <c r="M339" t="str">
        <f t="shared" si="41"/>
        <v>Garbage not collected for 3 days</v>
      </c>
      <c r="N339">
        <v>1</v>
      </c>
      <c r="O339" t="s">
        <v>18</v>
      </c>
      <c r="P339">
        <f t="shared" si="42"/>
        <v>15</v>
      </c>
      <c r="Q339" t="str">
        <f t="shared" si="43"/>
        <v>Within SLA</v>
      </c>
      <c r="R339" t="str">
        <f t="shared" si="44"/>
        <v>Off339</v>
      </c>
      <c r="S339">
        <v>12</v>
      </c>
      <c r="T339">
        <v>14</v>
      </c>
      <c r="U339">
        <v>46321</v>
      </c>
      <c r="V339">
        <v>44721</v>
      </c>
      <c r="W339" t="str">
        <f t="shared" si="45"/>
        <v>No</v>
      </c>
      <c r="X339" t="str">
        <f t="shared" si="46"/>
        <v>None</v>
      </c>
      <c r="Y339" s="2">
        <f t="shared" si="47"/>
        <v>46094</v>
      </c>
    </row>
    <row r="340" spans="1:25" x14ac:dyDescent="0.25">
      <c r="A340" t="s">
        <v>641</v>
      </c>
      <c r="B340" t="s">
        <v>69</v>
      </c>
      <c r="C340" t="s">
        <v>49</v>
      </c>
      <c r="D340" t="s">
        <v>13</v>
      </c>
      <c r="E340" t="s">
        <v>30</v>
      </c>
      <c r="F340" s="1">
        <v>3</v>
      </c>
      <c r="G340" t="s">
        <v>642</v>
      </c>
      <c r="H340" t="s">
        <v>47</v>
      </c>
      <c r="I340" t="s">
        <v>17</v>
      </c>
      <c r="J340" t="s">
        <v>37</v>
      </c>
      <c r="K340" t="str">
        <f t="shared" si="40"/>
        <v>General Complaint</v>
      </c>
      <c r="L340" t="s">
        <v>884</v>
      </c>
      <c r="M340" t="str">
        <f t="shared" si="41"/>
        <v>General complaint reported</v>
      </c>
      <c r="N340">
        <v>5</v>
      </c>
      <c r="O340" t="s">
        <v>37</v>
      </c>
      <c r="P340">
        <f t="shared" si="42"/>
        <v>15</v>
      </c>
      <c r="Q340" t="str">
        <f t="shared" si="43"/>
        <v>Within SLA</v>
      </c>
      <c r="R340" t="str">
        <f t="shared" si="44"/>
        <v>Off340</v>
      </c>
      <c r="S340">
        <v>8</v>
      </c>
      <c r="T340">
        <v>46</v>
      </c>
      <c r="U340">
        <v>40612</v>
      </c>
      <c r="V340">
        <v>39630</v>
      </c>
      <c r="W340" t="str">
        <f t="shared" si="45"/>
        <v>No</v>
      </c>
      <c r="X340" t="str">
        <f t="shared" si="46"/>
        <v>None</v>
      </c>
      <c r="Y340" s="2">
        <f t="shared" si="47"/>
        <v>45678</v>
      </c>
    </row>
    <row r="341" spans="1:25" x14ac:dyDescent="0.25">
      <c r="A341" t="s">
        <v>643</v>
      </c>
      <c r="B341" t="s">
        <v>11</v>
      </c>
      <c r="C341" t="s">
        <v>39</v>
      </c>
      <c r="D341" t="s">
        <v>13</v>
      </c>
      <c r="E341" t="s">
        <v>30</v>
      </c>
      <c r="F341" s="1">
        <v>30</v>
      </c>
      <c r="G341" t="s">
        <v>239</v>
      </c>
      <c r="H341" t="s">
        <v>47</v>
      </c>
      <c r="I341" t="s">
        <v>17</v>
      </c>
      <c r="J341" t="s">
        <v>18</v>
      </c>
      <c r="K341" t="str">
        <f t="shared" si="40"/>
        <v>Water Leakage</v>
      </c>
      <c r="L341" t="s">
        <v>885</v>
      </c>
      <c r="M341" t="str">
        <f t="shared" si="41"/>
        <v>Water pipe leakage near school</v>
      </c>
      <c r="N341">
        <v>1</v>
      </c>
      <c r="O341" t="s">
        <v>18</v>
      </c>
      <c r="P341">
        <f t="shared" si="42"/>
        <v>15</v>
      </c>
      <c r="Q341" t="str">
        <f t="shared" si="43"/>
        <v>Delayed</v>
      </c>
      <c r="R341" t="str">
        <f t="shared" si="44"/>
        <v>Off341</v>
      </c>
      <c r="S341">
        <v>15</v>
      </c>
      <c r="T341">
        <v>29</v>
      </c>
      <c r="U341">
        <v>28633</v>
      </c>
      <c r="V341">
        <v>26941</v>
      </c>
      <c r="W341" t="str">
        <f t="shared" si="45"/>
        <v>Yes</v>
      </c>
      <c r="X341" t="str">
        <f t="shared" si="46"/>
        <v>Level 1</v>
      </c>
      <c r="Y341" s="2">
        <f t="shared" si="47"/>
        <v>45775</v>
      </c>
    </row>
    <row r="342" spans="1:25" x14ac:dyDescent="0.25">
      <c r="A342" t="s">
        <v>644</v>
      </c>
      <c r="B342" t="s">
        <v>60</v>
      </c>
      <c r="C342" t="s">
        <v>76</v>
      </c>
      <c r="D342" t="s">
        <v>34</v>
      </c>
      <c r="E342" t="s">
        <v>42</v>
      </c>
      <c r="F342" s="1">
        <v>30</v>
      </c>
      <c r="G342" t="s">
        <v>645</v>
      </c>
      <c r="H342" t="s">
        <v>40</v>
      </c>
      <c r="I342" t="s">
        <v>36</v>
      </c>
      <c r="J342" t="s">
        <v>18</v>
      </c>
      <c r="K342" t="str">
        <f t="shared" si="40"/>
        <v>General Complaint</v>
      </c>
      <c r="L342" t="s">
        <v>881</v>
      </c>
      <c r="M342" t="str">
        <f t="shared" si="41"/>
        <v>General complaint reported</v>
      </c>
      <c r="N342">
        <v>1</v>
      </c>
      <c r="O342" t="s">
        <v>18</v>
      </c>
      <c r="P342">
        <f t="shared" si="42"/>
        <v>3</v>
      </c>
      <c r="Q342" t="str">
        <f t="shared" si="43"/>
        <v>Delayed</v>
      </c>
      <c r="R342" t="str">
        <f t="shared" si="44"/>
        <v>Off342</v>
      </c>
      <c r="S342">
        <v>12</v>
      </c>
      <c r="T342">
        <v>16</v>
      </c>
      <c r="U342">
        <v>10197</v>
      </c>
      <c r="V342">
        <v>11050</v>
      </c>
      <c r="W342" t="str">
        <f t="shared" si="45"/>
        <v>Yes</v>
      </c>
      <c r="X342" t="str">
        <f t="shared" si="46"/>
        <v>Level 3</v>
      </c>
      <c r="Y342" s="2">
        <f t="shared" si="47"/>
        <v>46181</v>
      </c>
    </row>
    <row r="343" spans="1:25" x14ac:dyDescent="0.25">
      <c r="A343" t="s">
        <v>646</v>
      </c>
      <c r="B343" t="s">
        <v>11</v>
      </c>
      <c r="C343" t="s">
        <v>39</v>
      </c>
      <c r="D343" t="s">
        <v>22</v>
      </c>
      <c r="E343" t="s">
        <v>30</v>
      </c>
      <c r="F343" s="1">
        <v>3</v>
      </c>
      <c r="G343" t="s">
        <v>647</v>
      </c>
      <c r="H343" t="s">
        <v>40</v>
      </c>
      <c r="I343" t="s">
        <v>65</v>
      </c>
      <c r="J343" t="s">
        <v>37</v>
      </c>
      <c r="K343" t="str">
        <f t="shared" si="40"/>
        <v>Water Leakage</v>
      </c>
      <c r="L343" t="s">
        <v>882</v>
      </c>
      <c r="M343" t="str">
        <f t="shared" si="41"/>
        <v>Water pipe leakage near school</v>
      </c>
      <c r="N343">
        <v>1</v>
      </c>
      <c r="O343" t="s">
        <v>18</v>
      </c>
      <c r="P343">
        <f t="shared" si="42"/>
        <v>7</v>
      </c>
      <c r="Q343" t="str">
        <f t="shared" si="43"/>
        <v>Within SLA</v>
      </c>
      <c r="R343" t="str">
        <f t="shared" si="44"/>
        <v>Off343</v>
      </c>
      <c r="S343">
        <v>10</v>
      </c>
      <c r="T343">
        <v>25</v>
      </c>
      <c r="U343">
        <v>8205</v>
      </c>
      <c r="V343">
        <v>6218</v>
      </c>
      <c r="W343" t="str">
        <f t="shared" si="45"/>
        <v>No</v>
      </c>
      <c r="X343" t="str">
        <f t="shared" si="46"/>
        <v>None</v>
      </c>
      <c r="Y343" s="2">
        <f t="shared" si="47"/>
        <v>45721</v>
      </c>
    </row>
    <row r="344" spans="1:25" x14ac:dyDescent="0.25">
      <c r="A344" t="s">
        <v>648</v>
      </c>
      <c r="B344" t="s">
        <v>60</v>
      </c>
      <c r="C344" t="s">
        <v>56</v>
      </c>
      <c r="D344" t="s">
        <v>13</v>
      </c>
      <c r="E344" t="s">
        <v>14</v>
      </c>
      <c r="F344" s="1">
        <v>37</v>
      </c>
      <c r="G344" t="s">
        <v>649</v>
      </c>
      <c r="H344" t="s">
        <v>16</v>
      </c>
      <c r="I344" t="s">
        <v>65</v>
      </c>
      <c r="J344" t="s">
        <v>18</v>
      </c>
      <c r="K344" t="str">
        <f t="shared" si="40"/>
        <v>General Complaint</v>
      </c>
      <c r="L344" t="s">
        <v>883</v>
      </c>
      <c r="M344" t="str">
        <f t="shared" si="41"/>
        <v>General complaint reported</v>
      </c>
      <c r="N344">
        <v>4</v>
      </c>
      <c r="O344" t="s">
        <v>37</v>
      </c>
      <c r="P344">
        <f t="shared" si="42"/>
        <v>15</v>
      </c>
      <c r="Q344" t="str">
        <f t="shared" si="43"/>
        <v>Delayed</v>
      </c>
      <c r="R344" t="str">
        <f t="shared" si="44"/>
        <v>Off344</v>
      </c>
      <c r="S344">
        <v>12</v>
      </c>
      <c r="T344">
        <v>48</v>
      </c>
      <c r="U344">
        <v>16115</v>
      </c>
      <c r="V344">
        <v>15465</v>
      </c>
      <c r="W344" t="str">
        <f t="shared" si="45"/>
        <v>Yes</v>
      </c>
      <c r="X344" t="str">
        <f t="shared" si="46"/>
        <v>Level 1</v>
      </c>
      <c r="Y344" s="2">
        <f t="shared" si="47"/>
        <v>46157</v>
      </c>
    </row>
    <row r="345" spans="1:25" x14ac:dyDescent="0.25">
      <c r="A345" t="s">
        <v>650</v>
      </c>
      <c r="B345" t="s">
        <v>20</v>
      </c>
      <c r="C345" t="s">
        <v>61</v>
      </c>
      <c r="D345" t="s">
        <v>22</v>
      </c>
      <c r="E345" t="s">
        <v>42</v>
      </c>
      <c r="F345" s="1">
        <v>14</v>
      </c>
      <c r="G345" t="s">
        <v>651</v>
      </c>
      <c r="H345" t="s">
        <v>58</v>
      </c>
      <c r="I345" t="s">
        <v>44</v>
      </c>
      <c r="J345" t="s">
        <v>18</v>
      </c>
      <c r="K345" t="str">
        <f t="shared" si="40"/>
        <v>Garbage Collection</v>
      </c>
      <c r="L345" t="s">
        <v>884</v>
      </c>
      <c r="M345" t="str">
        <f t="shared" si="41"/>
        <v>Garbage not collected for 3 days</v>
      </c>
      <c r="N345">
        <v>4</v>
      </c>
      <c r="O345" t="s">
        <v>37</v>
      </c>
      <c r="P345">
        <f t="shared" si="42"/>
        <v>7</v>
      </c>
      <c r="Q345" t="str">
        <f t="shared" si="43"/>
        <v>Delayed</v>
      </c>
      <c r="R345" t="str">
        <f t="shared" si="44"/>
        <v>Off345</v>
      </c>
      <c r="S345">
        <v>5</v>
      </c>
      <c r="T345">
        <v>9</v>
      </c>
      <c r="U345">
        <v>2896</v>
      </c>
      <c r="V345">
        <v>3618</v>
      </c>
      <c r="W345" t="str">
        <f t="shared" si="45"/>
        <v>Yes</v>
      </c>
      <c r="X345" t="str">
        <f t="shared" si="46"/>
        <v>Level 2</v>
      </c>
      <c r="Y345" s="2">
        <f t="shared" si="47"/>
        <v>45984</v>
      </c>
    </row>
    <row r="346" spans="1:25" x14ac:dyDescent="0.25">
      <c r="A346" t="s">
        <v>652</v>
      </c>
      <c r="B346" t="s">
        <v>69</v>
      </c>
      <c r="C346" t="s">
        <v>61</v>
      </c>
      <c r="D346" t="s">
        <v>22</v>
      </c>
      <c r="E346" t="s">
        <v>23</v>
      </c>
      <c r="F346" s="1">
        <v>17</v>
      </c>
      <c r="G346" t="s">
        <v>492</v>
      </c>
      <c r="H346" t="s">
        <v>58</v>
      </c>
      <c r="I346" t="s">
        <v>36</v>
      </c>
      <c r="J346" t="s">
        <v>18</v>
      </c>
      <c r="K346" t="str">
        <f t="shared" si="40"/>
        <v>General Complaint</v>
      </c>
      <c r="L346" t="s">
        <v>885</v>
      </c>
      <c r="M346" t="str">
        <f t="shared" si="41"/>
        <v>General complaint reported</v>
      </c>
      <c r="N346">
        <v>4</v>
      </c>
      <c r="O346" t="s">
        <v>37</v>
      </c>
      <c r="P346">
        <f t="shared" si="42"/>
        <v>7</v>
      </c>
      <c r="Q346" t="str">
        <f t="shared" si="43"/>
        <v>Delayed</v>
      </c>
      <c r="R346" t="str">
        <f t="shared" si="44"/>
        <v>Off346</v>
      </c>
      <c r="S346">
        <v>1</v>
      </c>
      <c r="T346">
        <v>40</v>
      </c>
      <c r="U346">
        <v>44710</v>
      </c>
      <c r="V346">
        <v>42757</v>
      </c>
      <c r="W346" t="str">
        <f t="shared" si="45"/>
        <v>Yes</v>
      </c>
      <c r="X346" t="str">
        <f t="shared" si="46"/>
        <v>Level 2</v>
      </c>
      <c r="Y346" s="2">
        <f t="shared" si="47"/>
        <v>45822</v>
      </c>
    </row>
    <row r="347" spans="1:25" x14ac:dyDescent="0.25">
      <c r="A347" t="s">
        <v>653</v>
      </c>
      <c r="B347" t="s">
        <v>69</v>
      </c>
      <c r="C347" t="s">
        <v>61</v>
      </c>
      <c r="D347" t="s">
        <v>22</v>
      </c>
      <c r="E347" t="s">
        <v>14</v>
      </c>
      <c r="F347" s="1">
        <v>41</v>
      </c>
      <c r="G347" t="s">
        <v>252</v>
      </c>
      <c r="H347" t="s">
        <v>58</v>
      </c>
      <c r="I347" t="s">
        <v>26</v>
      </c>
      <c r="J347" t="s">
        <v>18</v>
      </c>
      <c r="K347" t="str">
        <f t="shared" si="40"/>
        <v>General Complaint</v>
      </c>
      <c r="L347" t="s">
        <v>881</v>
      </c>
      <c r="M347" t="str">
        <f t="shared" si="41"/>
        <v>General complaint reported</v>
      </c>
      <c r="N347">
        <v>3</v>
      </c>
      <c r="O347" t="s">
        <v>37</v>
      </c>
      <c r="P347">
        <f t="shared" si="42"/>
        <v>7</v>
      </c>
      <c r="Q347" t="str">
        <f t="shared" si="43"/>
        <v>Delayed</v>
      </c>
      <c r="R347" t="str">
        <f t="shared" si="44"/>
        <v>Off347</v>
      </c>
      <c r="S347">
        <v>3</v>
      </c>
      <c r="T347">
        <v>18</v>
      </c>
      <c r="U347">
        <v>14334</v>
      </c>
      <c r="V347">
        <v>12944</v>
      </c>
      <c r="W347" t="str">
        <f t="shared" si="45"/>
        <v>Yes</v>
      </c>
      <c r="X347" t="str">
        <f t="shared" si="46"/>
        <v>Level 2</v>
      </c>
      <c r="Y347" s="2">
        <f t="shared" si="47"/>
        <v>45941</v>
      </c>
    </row>
    <row r="348" spans="1:25" x14ac:dyDescent="0.25">
      <c r="A348" t="s">
        <v>654</v>
      </c>
      <c r="B348" t="s">
        <v>53</v>
      </c>
      <c r="C348" t="s">
        <v>49</v>
      </c>
      <c r="D348" t="s">
        <v>34</v>
      </c>
      <c r="E348" t="s">
        <v>14</v>
      </c>
      <c r="F348" s="1">
        <v>40</v>
      </c>
      <c r="G348" t="s">
        <v>655</v>
      </c>
      <c r="H348" t="s">
        <v>25</v>
      </c>
      <c r="I348" t="s">
        <v>26</v>
      </c>
      <c r="J348" t="s">
        <v>18</v>
      </c>
      <c r="K348" t="str">
        <f t="shared" si="40"/>
        <v>Public Transport Delay</v>
      </c>
      <c r="L348" t="s">
        <v>882</v>
      </c>
      <c r="M348" t="str">
        <f t="shared" si="41"/>
        <v>Bus arrival delay reported</v>
      </c>
      <c r="N348">
        <v>3</v>
      </c>
      <c r="O348" t="s">
        <v>37</v>
      </c>
      <c r="P348">
        <f t="shared" si="42"/>
        <v>3</v>
      </c>
      <c r="Q348" t="str">
        <f t="shared" si="43"/>
        <v>Delayed</v>
      </c>
      <c r="R348" t="str">
        <f t="shared" si="44"/>
        <v>Off348</v>
      </c>
      <c r="S348">
        <v>8</v>
      </c>
      <c r="T348">
        <v>35</v>
      </c>
      <c r="U348">
        <v>25132</v>
      </c>
      <c r="V348">
        <v>23689</v>
      </c>
      <c r="W348" t="str">
        <f t="shared" si="45"/>
        <v>Yes</v>
      </c>
      <c r="X348" t="str">
        <f t="shared" si="46"/>
        <v>Level 3</v>
      </c>
      <c r="Y348" s="2">
        <f t="shared" si="47"/>
        <v>46090</v>
      </c>
    </row>
    <row r="349" spans="1:25" x14ac:dyDescent="0.25">
      <c r="A349" t="s">
        <v>656</v>
      </c>
      <c r="B349" t="s">
        <v>60</v>
      </c>
      <c r="C349" t="s">
        <v>76</v>
      </c>
      <c r="D349" t="s">
        <v>22</v>
      </c>
      <c r="E349" t="s">
        <v>30</v>
      </c>
      <c r="F349" s="1">
        <v>45</v>
      </c>
      <c r="G349" t="s">
        <v>511</v>
      </c>
      <c r="H349" t="s">
        <v>16</v>
      </c>
      <c r="I349" t="s">
        <v>36</v>
      </c>
      <c r="J349" t="s">
        <v>18</v>
      </c>
      <c r="K349" t="str">
        <f t="shared" si="40"/>
        <v>General Complaint</v>
      </c>
      <c r="L349" t="s">
        <v>883</v>
      </c>
      <c r="M349" t="str">
        <f t="shared" si="41"/>
        <v>General complaint reported</v>
      </c>
      <c r="N349">
        <v>3</v>
      </c>
      <c r="O349" t="s">
        <v>37</v>
      </c>
      <c r="P349">
        <f t="shared" si="42"/>
        <v>7</v>
      </c>
      <c r="Q349" t="str">
        <f t="shared" si="43"/>
        <v>Delayed</v>
      </c>
      <c r="R349" t="str">
        <f t="shared" si="44"/>
        <v>Off349</v>
      </c>
      <c r="S349">
        <v>15</v>
      </c>
      <c r="T349">
        <v>33</v>
      </c>
      <c r="U349">
        <v>7219</v>
      </c>
      <c r="V349">
        <v>6045</v>
      </c>
      <c r="W349" t="str">
        <f t="shared" si="45"/>
        <v>Yes</v>
      </c>
      <c r="X349" t="str">
        <f t="shared" si="46"/>
        <v>Level 2</v>
      </c>
      <c r="Y349" s="2">
        <f t="shared" si="47"/>
        <v>46159</v>
      </c>
    </row>
    <row r="350" spans="1:25" x14ac:dyDescent="0.25">
      <c r="A350" t="s">
        <v>657</v>
      </c>
      <c r="B350" t="s">
        <v>60</v>
      </c>
      <c r="C350" t="s">
        <v>49</v>
      </c>
      <c r="D350" t="s">
        <v>22</v>
      </c>
      <c r="E350" t="s">
        <v>30</v>
      </c>
      <c r="F350" s="1">
        <v>27</v>
      </c>
      <c r="G350" t="s">
        <v>658</v>
      </c>
      <c r="H350" t="s">
        <v>58</v>
      </c>
      <c r="I350" t="s">
        <v>36</v>
      </c>
      <c r="J350" t="s">
        <v>18</v>
      </c>
      <c r="K350" t="str">
        <f t="shared" si="40"/>
        <v>General Complaint</v>
      </c>
      <c r="L350" t="s">
        <v>884</v>
      </c>
      <c r="M350" t="str">
        <f t="shared" si="41"/>
        <v>General complaint reported</v>
      </c>
      <c r="N350">
        <v>3</v>
      </c>
      <c r="O350" t="s">
        <v>37</v>
      </c>
      <c r="P350">
        <f t="shared" si="42"/>
        <v>7</v>
      </c>
      <c r="Q350" t="str">
        <f t="shared" si="43"/>
        <v>Delayed</v>
      </c>
      <c r="R350" t="str">
        <f t="shared" si="44"/>
        <v>Off350</v>
      </c>
      <c r="S350">
        <v>6</v>
      </c>
      <c r="T350">
        <v>14</v>
      </c>
      <c r="U350">
        <v>38944</v>
      </c>
      <c r="V350">
        <v>38223</v>
      </c>
      <c r="W350" t="str">
        <f t="shared" si="45"/>
        <v>Yes</v>
      </c>
      <c r="X350" t="str">
        <f t="shared" si="46"/>
        <v>Level 2</v>
      </c>
      <c r="Y350" s="2">
        <f t="shared" si="47"/>
        <v>45722</v>
      </c>
    </row>
    <row r="351" spans="1:25" x14ac:dyDescent="0.25">
      <c r="A351" t="s">
        <v>659</v>
      </c>
      <c r="B351" t="s">
        <v>11</v>
      </c>
      <c r="C351" t="s">
        <v>12</v>
      </c>
      <c r="D351" t="s">
        <v>34</v>
      </c>
      <c r="E351" t="s">
        <v>14</v>
      </c>
      <c r="F351" s="1">
        <v>38</v>
      </c>
      <c r="G351" t="s">
        <v>660</v>
      </c>
      <c r="H351" t="s">
        <v>25</v>
      </c>
      <c r="I351" t="s">
        <v>44</v>
      </c>
      <c r="J351" t="s">
        <v>18</v>
      </c>
      <c r="K351" t="str">
        <f t="shared" si="40"/>
        <v>Water Leakage</v>
      </c>
      <c r="L351" t="s">
        <v>885</v>
      </c>
      <c r="M351" t="str">
        <f t="shared" si="41"/>
        <v>Water pipe leakage near school</v>
      </c>
      <c r="N351">
        <v>3</v>
      </c>
      <c r="O351" t="s">
        <v>37</v>
      </c>
      <c r="P351">
        <f t="shared" si="42"/>
        <v>3</v>
      </c>
      <c r="Q351" t="str">
        <f t="shared" si="43"/>
        <v>Delayed</v>
      </c>
      <c r="R351" t="str">
        <f t="shared" si="44"/>
        <v>Off351</v>
      </c>
      <c r="S351">
        <v>14</v>
      </c>
      <c r="T351">
        <v>19</v>
      </c>
      <c r="U351">
        <v>47194</v>
      </c>
      <c r="V351">
        <v>45521</v>
      </c>
      <c r="W351" t="str">
        <f t="shared" si="45"/>
        <v>Yes</v>
      </c>
      <c r="X351" t="str">
        <f t="shared" si="46"/>
        <v>Level 3</v>
      </c>
      <c r="Y351" s="2">
        <f t="shared" si="47"/>
        <v>46178</v>
      </c>
    </row>
    <row r="352" spans="1:25" x14ac:dyDescent="0.25">
      <c r="A352" t="s">
        <v>661</v>
      </c>
      <c r="B352" t="s">
        <v>28</v>
      </c>
      <c r="C352" t="s">
        <v>12</v>
      </c>
      <c r="D352" t="s">
        <v>34</v>
      </c>
      <c r="E352" t="s">
        <v>42</v>
      </c>
      <c r="F352" s="1">
        <v>22</v>
      </c>
      <c r="G352" t="s">
        <v>662</v>
      </c>
      <c r="H352" t="s">
        <v>58</v>
      </c>
      <c r="I352" t="s">
        <v>17</v>
      </c>
      <c r="J352" t="s">
        <v>18</v>
      </c>
      <c r="K352" t="str">
        <f t="shared" si="40"/>
        <v>Road Damage</v>
      </c>
      <c r="L352" t="s">
        <v>881</v>
      </c>
      <c r="M352" t="str">
        <f t="shared" si="41"/>
        <v>Road damaged due to heavy rain</v>
      </c>
      <c r="N352">
        <v>4</v>
      </c>
      <c r="O352" t="s">
        <v>37</v>
      </c>
      <c r="P352">
        <f t="shared" si="42"/>
        <v>3</v>
      </c>
      <c r="Q352" t="str">
        <f t="shared" si="43"/>
        <v>Delayed</v>
      </c>
      <c r="R352" t="str">
        <f t="shared" si="44"/>
        <v>Off352</v>
      </c>
      <c r="S352">
        <v>7</v>
      </c>
      <c r="T352">
        <v>20</v>
      </c>
      <c r="U352">
        <v>8712</v>
      </c>
      <c r="V352">
        <v>6853</v>
      </c>
      <c r="W352" t="str">
        <f t="shared" si="45"/>
        <v>Yes</v>
      </c>
      <c r="X352" t="str">
        <f t="shared" si="46"/>
        <v>Level 3</v>
      </c>
      <c r="Y352" s="2">
        <f t="shared" si="47"/>
        <v>45887</v>
      </c>
    </row>
    <row r="353" spans="1:25" x14ac:dyDescent="0.25">
      <c r="A353" t="s">
        <v>663</v>
      </c>
      <c r="B353" t="s">
        <v>11</v>
      </c>
      <c r="C353" t="s">
        <v>21</v>
      </c>
      <c r="D353" t="s">
        <v>34</v>
      </c>
      <c r="E353" t="s">
        <v>30</v>
      </c>
      <c r="F353" s="1">
        <v>45</v>
      </c>
      <c r="G353" t="s">
        <v>664</v>
      </c>
      <c r="H353" t="s">
        <v>58</v>
      </c>
      <c r="I353" t="s">
        <v>36</v>
      </c>
      <c r="J353" t="s">
        <v>18</v>
      </c>
      <c r="K353" t="str">
        <f t="shared" si="40"/>
        <v>Water Leakage</v>
      </c>
      <c r="L353" t="s">
        <v>882</v>
      </c>
      <c r="M353" t="str">
        <f t="shared" si="41"/>
        <v>Water pipe leakage near school</v>
      </c>
      <c r="N353">
        <v>4</v>
      </c>
      <c r="O353" t="s">
        <v>37</v>
      </c>
      <c r="P353">
        <f t="shared" si="42"/>
        <v>3</v>
      </c>
      <c r="Q353" t="str">
        <f t="shared" si="43"/>
        <v>Delayed</v>
      </c>
      <c r="R353" t="str">
        <f t="shared" si="44"/>
        <v>Off353</v>
      </c>
      <c r="S353">
        <v>9</v>
      </c>
      <c r="T353">
        <v>42</v>
      </c>
      <c r="U353">
        <v>47103</v>
      </c>
      <c r="V353">
        <v>45956</v>
      </c>
      <c r="W353" t="str">
        <f t="shared" si="45"/>
        <v>Yes</v>
      </c>
      <c r="X353" t="str">
        <f t="shared" si="46"/>
        <v>Level 3</v>
      </c>
      <c r="Y353" s="2">
        <f t="shared" si="47"/>
        <v>45996</v>
      </c>
    </row>
    <row r="354" spans="1:25" x14ac:dyDescent="0.25">
      <c r="A354" t="s">
        <v>665</v>
      </c>
      <c r="B354" t="s">
        <v>60</v>
      </c>
      <c r="C354" t="s">
        <v>21</v>
      </c>
      <c r="D354" t="s">
        <v>34</v>
      </c>
      <c r="E354" t="s">
        <v>30</v>
      </c>
      <c r="F354" s="1">
        <v>29</v>
      </c>
      <c r="G354" t="s">
        <v>31</v>
      </c>
      <c r="H354" t="s">
        <v>51</v>
      </c>
      <c r="I354" t="s">
        <v>44</v>
      </c>
      <c r="J354" t="s">
        <v>18</v>
      </c>
      <c r="K354" t="str">
        <f t="shared" si="40"/>
        <v>General Complaint</v>
      </c>
      <c r="L354" t="s">
        <v>883</v>
      </c>
      <c r="M354" t="str">
        <f t="shared" si="41"/>
        <v>General complaint reported</v>
      </c>
      <c r="N354">
        <v>4</v>
      </c>
      <c r="O354" t="s">
        <v>37</v>
      </c>
      <c r="P354">
        <f t="shared" si="42"/>
        <v>3</v>
      </c>
      <c r="Q354" t="str">
        <f t="shared" si="43"/>
        <v>Delayed</v>
      </c>
      <c r="R354" t="str">
        <f t="shared" si="44"/>
        <v>Off354</v>
      </c>
      <c r="S354">
        <v>10</v>
      </c>
      <c r="T354">
        <v>20</v>
      </c>
      <c r="U354">
        <v>23526</v>
      </c>
      <c r="V354">
        <v>23379</v>
      </c>
      <c r="W354" t="str">
        <f t="shared" si="45"/>
        <v>Yes</v>
      </c>
      <c r="X354" t="str">
        <f t="shared" si="46"/>
        <v>Level 3</v>
      </c>
      <c r="Y354" s="2">
        <f t="shared" si="47"/>
        <v>45762</v>
      </c>
    </row>
    <row r="355" spans="1:25" x14ac:dyDescent="0.25">
      <c r="A355" t="s">
        <v>666</v>
      </c>
      <c r="B355" t="s">
        <v>53</v>
      </c>
      <c r="C355" t="s">
        <v>76</v>
      </c>
      <c r="D355" t="s">
        <v>22</v>
      </c>
      <c r="E355" t="s">
        <v>14</v>
      </c>
      <c r="F355" s="1">
        <v>4</v>
      </c>
      <c r="G355" t="s">
        <v>366</v>
      </c>
      <c r="H355" t="s">
        <v>58</v>
      </c>
      <c r="I355" t="s">
        <v>44</v>
      </c>
      <c r="J355" t="s">
        <v>37</v>
      </c>
      <c r="K355" t="str">
        <f t="shared" si="40"/>
        <v>Public Transport Delay</v>
      </c>
      <c r="L355" t="s">
        <v>884</v>
      </c>
      <c r="M355" t="str">
        <f t="shared" si="41"/>
        <v>Bus arrival delay reported</v>
      </c>
      <c r="N355">
        <v>1</v>
      </c>
      <c r="O355" t="s">
        <v>18</v>
      </c>
      <c r="P355">
        <f t="shared" si="42"/>
        <v>7</v>
      </c>
      <c r="Q355" t="str">
        <f t="shared" si="43"/>
        <v>Within SLA</v>
      </c>
      <c r="R355" t="str">
        <f t="shared" si="44"/>
        <v>Off355</v>
      </c>
      <c r="S355">
        <v>15</v>
      </c>
      <c r="T355">
        <v>12</v>
      </c>
      <c r="U355">
        <v>18647</v>
      </c>
      <c r="V355">
        <v>18324</v>
      </c>
      <c r="W355" t="str">
        <f t="shared" si="45"/>
        <v>No</v>
      </c>
      <c r="X355" t="str">
        <f t="shared" si="46"/>
        <v>None</v>
      </c>
      <c r="Y355" s="2">
        <f t="shared" si="47"/>
        <v>45927</v>
      </c>
    </row>
    <row r="356" spans="1:25" x14ac:dyDescent="0.25">
      <c r="A356" t="s">
        <v>667</v>
      </c>
      <c r="B356" t="s">
        <v>69</v>
      </c>
      <c r="C356" t="s">
        <v>12</v>
      </c>
      <c r="D356" t="s">
        <v>22</v>
      </c>
      <c r="E356" t="s">
        <v>42</v>
      </c>
      <c r="F356" s="1">
        <v>25</v>
      </c>
      <c r="G356" t="s">
        <v>82</v>
      </c>
      <c r="H356" t="s">
        <v>16</v>
      </c>
      <c r="I356" t="s">
        <v>44</v>
      </c>
      <c r="J356" t="s">
        <v>18</v>
      </c>
      <c r="K356" t="str">
        <f t="shared" si="40"/>
        <v>General Complaint</v>
      </c>
      <c r="L356" t="s">
        <v>885</v>
      </c>
      <c r="M356" t="str">
        <f t="shared" si="41"/>
        <v>General complaint reported</v>
      </c>
      <c r="N356">
        <v>2</v>
      </c>
      <c r="O356" t="s">
        <v>18</v>
      </c>
      <c r="P356">
        <f t="shared" si="42"/>
        <v>7</v>
      </c>
      <c r="Q356" t="str">
        <f t="shared" si="43"/>
        <v>Delayed</v>
      </c>
      <c r="R356" t="str">
        <f t="shared" si="44"/>
        <v>Off356</v>
      </c>
      <c r="S356">
        <v>14</v>
      </c>
      <c r="T356">
        <v>49</v>
      </c>
      <c r="U356">
        <v>37444</v>
      </c>
      <c r="V356">
        <v>36494</v>
      </c>
      <c r="W356" t="str">
        <f t="shared" si="45"/>
        <v>Yes</v>
      </c>
      <c r="X356" t="str">
        <f t="shared" si="46"/>
        <v>Level 2</v>
      </c>
      <c r="Y356" s="2">
        <f t="shared" si="47"/>
        <v>46181</v>
      </c>
    </row>
    <row r="357" spans="1:25" x14ac:dyDescent="0.25">
      <c r="A357" t="s">
        <v>668</v>
      </c>
      <c r="B357" t="s">
        <v>28</v>
      </c>
      <c r="C357" t="s">
        <v>61</v>
      </c>
      <c r="D357" t="s">
        <v>13</v>
      </c>
      <c r="E357" t="s">
        <v>14</v>
      </c>
      <c r="F357" s="1">
        <v>7</v>
      </c>
      <c r="G357" t="s">
        <v>152</v>
      </c>
      <c r="H357" t="s">
        <v>40</v>
      </c>
      <c r="I357" t="s">
        <v>36</v>
      </c>
      <c r="J357" t="s">
        <v>37</v>
      </c>
      <c r="K357" t="str">
        <f t="shared" si="40"/>
        <v>Road Damage</v>
      </c>
      <c r="L357" t="s">
        <v>881</v>
      </c>
      <c r="M357" t="str">
        <f t="shared" si="41"/>
        <v>Road damaged due to heavy rain</v>
      </c>
      <c r="N357">
        <v>1</v>
      </c>
      <c r="O357" t="s">
        <v>18</v>
      </c>
      <c r="P357">
        <f t="shared" si="42"/>
        <v>15</v>
      </c>
      <c r="Q357" t="str">
        <f t="shared" si="43"/>
        <v>Within SLA</v>
      </c>
      <c r="R357" t="str">
        <f t="shared" si="44"/>
        <v>Off357</v>
      </c>
      <c r="S357">
        <v>8</v>
      </c>
      <c r="T357">
        <v>8</v>
      </c>
      <c r="U357">
        <v>4305</v>
      </c>
      <c r="V357">
        <v>6086</v>
      </c>
      <c r="W357" t="str">
        <f t="shared" si="45"/>
        <v>No</v>
      </c>
      <c r="X357" t="str">
        <f t="shared" si="46"/>
        <v>None</v>
      </c>
      <c r="Y357" s="2">
        <f t="shared" si="47"/>
        <v>45703</v>
      </c>
    </row>
    <row r="358" spans="1:25" x14ac:dyDescent="0.25">
      <c r="A358" t="s">
        <v>669</v>
      </c>
      <c r="B358" t="s">
        <v>69</v>
      </c>
      <c r="C358" t="s">
        <v>21</v>
      </c>
      <c r="D358" t="s">
        <v>13</v>
      </c>
      <c r="E358" t="s">
        <v>14</v>
      </c>
      <c r="F358" s="1">
        <v>19</v>
      </c>
      <c r="G358" t="s">
        <v>396</v>
      </c>
      <c r="H358" t="s">
        <v>58</v>
      </c>
      <c r="I358" t="s">
        <v>65</v>
      </c>
      <c r="J358" t="s">
        <v>18</v>
      </c>
      <c r="K358" t="str">
        <f t="shared" si="40"/>
        <v>General Complaint</v>
      </c>
      <c r="L358" t="s">
        <v>882</v>
      </c>
      <c r="M358" t="str">
        <f t="shared" si="41"/>
        <v>General complaint reported</v>
      </c>
      <c r="N358">
        <v>3</v>
      </c>
      <c r="O358" t="s">
        <v>37</v>
      </c>
      <c r="P358">
        <f t="shared" si="42"/>
        <v>15</v>
      </c>
      <c r="Q358" t="str">
        <f t="shared" si="43"/>
        <v>Delayed</v>
      </c>
      <c r="R358" t="str">
        <f t="shared" si="44"/>
        <v>Off358</v>
      </c>
      <c r="S358">
        <v>13</v>
      </c>
      <c r="T358">
        <v>34</v>
      </c>
      <c r="U358">
        <v>26330</v>
      </c>
      <c r="V358">
        <v>26546</v>
      </c>
      <c r="W358" t="str">
        <f t="shared" si="45"/>
        <v>Yes</v>
      </c>
      <c r="X358" t="str">
        <f t="shared" si="46"/>
        <v>Level 1</v>
      </c>
      <c r="Y358" s="2">
        <f t="shared" si="47"/>
        <v>46068</v>
      </c>
    </row>
    <row r="359" spans="1:25" x14ac:dyDescent="0.25">
      <c r="A359" t="s">
        <v>670</v>
      </c>
      <c r="B359" t="s">
        <v>28</v>
      </c>
      <c r="C359" t="s">
        <v>33</v>
      </c>
      <c r="D359" t="s">
        <v>22</v>
      </c>
      <c r="E359" t="s">
        <v>42</v>
      </c>
      <c r="F359" s="1">
        <v>6</v>
      </c>
      <c r="G359" t="s">
        <v>35</v>
      </c>
      <c r="H359" t="s">
        <v>51</v>
      </c>
      <c r="I359" t="s">
        <v>65</v>
      </c>
      <c r="J359" t="s">
        <v>37</v>
      </c>
      <c r="K359" t="str">
        <f t="shared" si="40"/>
        <v>Road Damage</v>
      </c>
      <c r="L359" t="s">
        <v>883</v>
      </c>
      <c r="M359" t="str">
        <f t="shared" si="41"/>
        <v>Road damaged due to heavy rain</v>
      </c>
      <c r="N359">
        <v>5</v>
      </c>
      <c r="O359" t="s">
        <v>37</v>
      </c>
      <c r="P359">
        <f t="shared" si="42"/>
        <v>7</v>
      </c>
      <c r="Q359" t="str">
        <f t="shared" si="43"/>
        <v>Within SLA</v>
      </c>
      <c r="R359" t="str">
        <f t="shared" si="44"/>
        <v>Off359</v>
      </c>
      <c r="S359">
        <v>9</v>
      </c>
      <c r="T359">
        <v>31</v>
      </c>
      <c r="U359">
        <v>13666</v>
      </c>
      <c r="V359">
        <v>12099</v>
      </c>
      <c r="W359" t="str">
        <f t="shared" si="45"/>
        <v>No</v>
      </c>
      <c r="X359" t="str">
        <f t="shared" si="46"/>
        <v>None</v>
      </c>
      <c r="Y359" s="2">
        <f t="shared" si="47"/>
        <v>45950</v>
      </c>
    </row>
    <row r="360" spans="1:25" x14ac:dyDescent="0.25">
      <c r="A360" t="s">
        <v>671</v>
      </c>
      <c r="B360" t="s">
        <v>69</v>
      </c>
      <c r="C360" t="s">
        <v>76</v>
      </c>
      <c r="D360" t="s">
        <v>22</v>
      </c>
      <c r="E360" t="s">
        <v>14</v>
      </c>
      <c r="F360" s="1">
        <v>27</v>
      </c>
      <c r="G360" t="s">
        <v>672</v>
      </c>
      <c r="H360" t="s">
        <v>51</v>
      </c>
      <c r="I360" t="s">
        <v>17</v>
      </c>
      <c r="J360" t="s">
        <v>18</v>
      </c>
      <c r="K360" t="str">
        <f t="shared" si="40"/>
        <v>General Complaint</v>
      </c>
      <c r="L360" t="s">
        <v>884</v>
      </c>
      <c r="M360" t="str">
        <f t="shared" si="41"/>
        <v>General complaint reported</v>
      </c>
      <c r="N360">
        <v>5</v>
      </c>
      <c r="O360" t="s">
        <v>37</v>
      </c>
      <c r="P360">
        <f t="shared" si="42"/>
        <v>7</v>
      </c>
      <c r="Q360" t="str">
        <f t="shared" si="43"/>
        <v>Delayed</v>
      </c>
      <c r="R360" t="str">
        <f t="shared" si="44"/>
        <v>Off360</v>
      </c>
      <c r="S360">
        <v>3</v>
      </c>
      <c r="T360">
        <v>28</v>
      </c>
      <c r="U360">
        <v>15669</v>
      </c>
      <c r="V360">
        <v>15986</v>
      </c>
      <c r="W360" t="str">
        <f t="shared" si="45"/>
        <v>Yes</v>
      </c>
      <c r="X360" t="str">
        <f t="shared" si="46"/>
        <v>Level 2</v>
      </c>
      <c r="Y360" s="2">
        <f t="shared" si="47"/>
        <v>45967</v>
      </c>
    </row>
    <row r="361" spans="1:25" x14ac:dyDescent="0.25">
      <c r="A361" t="s">
        <v>673</v>
      </c>
      <c r="B361" t="s">
        <v>28</v>
      </c>
      <c r="C361" t="s">
        <v>56</v>
      </c>
      <c r="D361" t="s">
        <v>34</v>
      </c>
      <c r="E361" t="s">
        <v>23</v>
      </c>
      <c r="F361" s="1">
        <v>30</v>
      </c>
      <c r="G361" t="s">
        <v>674</v>
      </c>
      <c r="H361" t="s">
        <v>47</v>
      </c>
      <c r="I361" t="s">
        <v>26</v>
      </c>
      <c r="J361" t="s">
        <v>18</v>
      </c>
      <c r="K361" t="str">
        <f t="shared" si="40"/>
        <v>Road Damage</v>
      </c>
      <c r="L361" t="s">
        <v>885</v>
      </c>
      <c r="M361" t="str">
        <f t="shared" si="41"/>
        <v>Road damaged due to heavy rain</v>
      </c>
      <c r="N361">
        <v>2</v>
      </c>
      <c r="O361" t="s">
        <v>18</v>
      </c>
      <c r="P361">
        <f t="shared" si="42"/>
        <v>3</v>
      </c>
      <c r="Q361" t="str">
        <f t="shared" si="43"/>
        <v>Delayed</v>
      </c>
      <c r="R361" t="str">
        <f t="shared" si="44"/>
        <v>Off361</v>
      </c>
      <c r="S361">
        <v>9</v>
      </c>
      <c r="T361">
        <v>32</v>
      </c>
      <c r="U361">
        <v>4282</v>
      </c>
      <c r="V361">
        <v>3606</v>
      </c>
      <c r="W361" t="str">
        <f t="shared" si="45"/>
        <v>Yes</v>
      </c>
      <c r="X361" t="str">
        <f t="shared" si="46"/>
        <v>Level 3</v>
      </c>
      <c r="Y361" s="2">
        <f t="shared" si="47"/>
        <v>45866</v>
      </c>
    </row>
    <row r="362" spans="1:25" x14ac:dyDescent="0.25">
      <c r="A362" t="s">
        <v>675</v>
      </c>
      <c r="B362" t="s">
        <v>20</v>
      </c>
      <c r="C362" t="s">
        <v>12</v>
      </c>
      <c r="D362" t="s">
        <v>13</v>
      </c>
      <c r="E362" t="s">
        <v>14</v>
      </c>
      <c r="F362" s="1">
        <v>17</v>
      </c>
      <c r="G362" t="s">
        <v>461</v>
      </c>
      <c r="H362" t="s">
        <v>51</v>
      </c>
      <c r="I362" t="s">
        <v>65</v>
      </c>
      <c r="J362" t="s">
        <v>18</v>
      </c>
      <c r="K362" t="str">
        <f t="shared" si="40"/>
        <v>Garbage Collection</v>
      </c>
      <c r="L362" t="s">
        <v>881</v>
      </c>
      <c r="M362" t="str">
        <f t="shared" si="41"/>
        <v>Garbage not collected for 3 days</v>
      </c>
      <c r="N362">
        <v>3</v>
      </c>
      <c r="O362" t="s">
        <v>37</v>
      </c>
      <c r="P362">
        <f t="shared" si="42"/>
        <v>15</v>
      </c>
      <c r="Q362" t="str">
        <f t="shared" si="43"/>
        <v>Delayed</v>
      </c>
      <c r="R362" t="str">
        <f t="shared" si="44"/>
        <v>Off362</v>
      </c>
      <c r="S362">
        <v>14</v>
      </c>
      <c r="T362">
        <v>20</v>
      </c>
      <c r="U362">
        <v>47069</v>
      </c>
      <c r="V362">
        <v>47631</v>
      </c>
      <c r="W362" t="str">
        <f t="shared" si="45"/>
        <v>Yes</v>
      </c>
      <c r="X362" t="str">
        <f t="shared" si="46"/>
        <v>Level 1</v>
      </c>
      <c r="Y362" s="2">
        <f t="shared" si="47"/>
        <v>45711</v>
      </c>
    </row>
    <row r="363" spans="1:25" x14ac:dyDescent="0.25">
      <c r="A363" t="s">
        <v>676</v>
      </c>
      <c r="B363" t="s">
        <v>53</v>
      </c>
      <c r="C363" t="s">
        <v>29</v>
      </c>
      <c r="D363" t="s">
        <v>13</v>
      </c>
      <c r="E363" t="s">
        <v>42</v>
      </c>
      <c r="F363" s="1">
        <v>9</v>
      </c>
      <c r="G363" t="s">
        <v>259</v>
      </c>
      <c r="H363" t="s">
        <v>25</v>
      </c>
      <c r="I363" t="s">
        <v>17</v>
      </c>
      <c r="J363" t="s">
        <v>18</v>
      </c>
      <c r="K363" t="str">
        <f t="shared" si="40"/>
        <v>Public Transport Delay</v>
      </c>
      <c r="L363" t="s">
        <v>882</v>
      </c>
      <c r="M363" t="str">
        <f t="shared" si="41"/>
        <v>Bus arrival delay reported</v>
      </c>
      <c r="N363">
        <v>4</v>
      </c>
      <c r="O363" t="s">
        <v>37</v>
      </c>
      <c r="P363">
        <f t="shared" si="42"/>
        <v>15</v>
      </c>
      <c r="Q363" t="str">
        <f t="shared" si="43"/>
        <v>Within SLA</v>
      </c>
      <c r="R363" t="str">
        <f t="shared" si="44"/>
        <v>Off363</v>
      </c>
      <c r="S363">
        <v>13</v>
      </c>
      <c r="T363">
        <v>10</v>
      </c>
      <c r="U363">
        <v>13272</v>
      </c>
      <c r="V363">
        <v>11791</v>
      </c>
      <c r="W363" t="str">
        <f t="shared" si="45"/>
        <v>No</v>
      </c>
      <c r="X363" t="str">
        <f t="shared" si="46"/>
        <v>None</v>
      </c>
      <c r="Y363" s="2">
        <f t="shared" si="47"/>
        <v>46042</v>
      </c>
    </row>
    <row r="364" spans="1:25" x14ac:dyDescent="0.25">
      <c r="A364" t="s">
        <v>677</v>
      </c>
      <c r="B364" t="s">
        <v>28</v>
      </c>
      <c r="C364" t="s">
        <v>56</v>
      </c>
      <c r="D364" t="s">
        <v>22</v>
      </c>
      <c r="E364" t="s">
        <v>30</v>
      </c>
      <c r="F364" s="1">
        <v>15</v>
      </c>
      <c r="G364" t="s">
        <v>678</v>
      </c>
      <c r="H364" t="s">
        <v>51</v>
      </c>
      <c r="I364" t="s">
        <v>17</v>
      </c>
      <c r="J364" t="s">
        <v>18</v>
      </c>
      <c r="K364" t="str">
        <f t="shared" si="40"/>
        <v>Road Damage</v>
      </c>
      <c r="L364" t="s">
        <v>883</v>
      </c>
      <c r="M364" t="str">
        <f t="shared" si="41"/>
        <v>Road damaged due to heavy rain</v>
      </c>
      <c r="N364">
        <v>1</v>
      </c>
      <c r="O364" t="s">
        <v>18</v>
      </c>
      <c r="P364">
        <f t="shared" si="42"/>
        <v>7</v>
      </c>
      <c r="Q364" t="str">
        <f t="shared" si="43"/>
        <v>Delayed</v>
      </c>
      <c r="R364" t="str">
        <f t="shared" si="44"/>
        <v>Off364</v>
      </c>
      <c r="S364">
        <v>13</v>
      </c>
      <c r="T364">
        <v>11</v>
      </c>
      <c r="U364">
        <v>43235</v>
      </c>
      <c r="V364">
        <v>41307</v>
      </c>
      <c r="W364" t="str">
        <f t="shared" si="45"/>
        <v>Yes</v>
      </c>
      <c r="X364" t="str">
        <f t="shared" si="46"/>
        <v>Level 2</v>
      </c>
      <c r="Y364" s="2">
        <f t="shared" si="47"/>
        <v>45958</v>
      </c>
    </row>
    <row r="365" spans="1:25" x14ac:dyDescent="0.25">
      <c r="A365" t="s">
        <v>679</v>
      </c>
      <c r="B365" t="s">
        <v>60</v>
      </c>
      <c r="C365" t="s">
        <v>49</v>
      </c>
      <c r="D365" t="s">
        <v>34</v>
      </c>
      <c r="E365" t="s">
        <v>14</v>
      </c>
      <c r="F365" s="1">
        <v>28</v>
      </c>
      <c r="G365" t="s">
        <v>120</v>
      </c>
      <c r="H365" t="s">
        <v>58</v>
      </c>
      <c r="I365" t="s">
        <v>65</v>
      </c>
      <c r="J365" t="s">
        <v>18</v>
      </c>
      <c r="K365" t="str">
        <f t="shared" si="40"/>
        <v>General Complaint</v>
      </c>
      <c r="L365" t="s">
        <v>884</v>
      </c>
      <c r="M365" t="str">
        <f t="shared" si="41"/>
        <v>General complaint reported</v>
      </c>
      <c r="N365">
        <v>2</v>
      </c>
      <c r="O365" t="s">
        <v>18</v>
      </c>
      <c r="P365">
        <f t="shared" si="42"/>
        <v>3</v>
      </c>
      <c r="Q365" t="str">
        <f t="shared" si="43"/>
        <v>Delayed</v>
      </c>
      <c r="R365" t="str">
        <f t="shared" si="44"/>
        <v>Off365</v>
      </c>
      <c r="S365">
        <v>13</v>
      </c>
      <c r="T365">
        <v>44</v>
      </c>
      <c r="U365">
        <v>9553</v>
      </c>
      <c r="V365">
        <v>10572</v>
      </c>
      <c r="W365" t="str">
        <f t="shared" si="45"/>
        <v>Yes</v>
      </c>
      <c r="X365" t="str">
        <f t="shared" si="46"/>
        <v>Level 3</v>
      </c>
      <c r="Y365" s="2">
        <f t="shared" si="47"/>
        <v>45727</v>
      </c>
    </row>
    <row r="366" spans="1:25" x14ac:dyDescent="0.25">
      <c r="A366" t="s">
        <v>680</v>
      </c>
      <c r="B366" t="s">
        <v>69</v>
      </c>
      <c r="C366" t="s">
        <v>39</v>
      </c>
      <c r="D366" t="s">
        <v>22</v>
      </c>
      <c r="E366" t="s">
        <v>30</v>
      </c>
      <c r="F366" s="1">
        <v>34</v>
      </c>
      <c r="G366" t="s">
        <v>531</v>
      </c>
      <c r="H366" t="s">
        <v>25</v>
      </c>
      <c r="I366" t="s">
        <v>26</v>
      </c>
      <c r="J366" t="s">
        <v>18</v>
      </c>
      <c r="K366" t="str">
        <f t="shared" si="40"/>
        <v>General Complaint</v>
      </c>
      <c r="L366" t="s">
        <v>885</v>
      </c>
      <c r="M366" t="str">
        <f t="shared" si="41"/>
        <v>General complaint reported</v>
      </c>
      <c r="N366">
        <v>4</v>
      </c>
      <c r="O366" t="s">
        <v>37</v>
      </c>
      <c r="P366">
        <f t="shared" si="42"/>
        <v>7</v>
      </c>
      <c r="Q366" t="str">
        <f t="shared" si="43"/>
        <v>Delayed</v>
      </c>
      <c r="R366" t="str">
        <f t="shared" si="44"/>
        <v>Off366</v>
      </c>
      <c r="S366">
        <v>14</v>
      </c>
      <c r="T366">
        <v>23</v>
      </c>
      <c r="U366">
        <v>34898</v>
      </c>
      <c r="V366">
        <v>34242</v>
      </c>
      <c r="W366" t="str">
        <f t="shared" si="45"/>
        <v>Yes</v>
      </c>
      <c r="X366" t="str">
        <f t="shared" si="46"/>
        <v>Level 2</v>
      </c>
      <c r="Y366" s="2">
        <f t="shared" si="47"/>
        <v>46036</v>
      </c>
    </row>
    <row r="367" spans="1:25" x14ac:dyDescent="0.25">
      <c r="A367" t="s">
        <v>681</v>
      </c>
      <c r="B367" t="s">
        <v>11</v>
      </c>
      <c r="C367" t="s">
        <v>56</v>
      </c>
      <c r="D367" t="s">
        <v>13</v>
      </c>
      <c r="E367" t="s">
        <v>30</v>
      </c>
      <c r="F367" s="1">
        <v>29</v>
      </c>
      <c r="G367" t="s">
        <v>682</v>
      </c>
      <c r="H367" t="s">
        <v>25</v>
      </c>
      <c r="I367" t="s">
        <v>65</v>
      </c>
      <c r="J367" t="s">
        <v>18</v>
      </c>
      <c r="K367" t="str">
        <f t="shared" si="40"/>
        <v>Water Leakage</v>
      </c>
      <c r="L367" t="s">
        <v>881</v>
      </c>
      <c r="M367" t="str">
        <f t="shared" si="41"/>
        <v>Water pipe leakage near school</v>
      </c>
      <c r="N367">
        <v>1</v>
      </c>
      <c r="O367" t="s">
        <v>18</v>
      </c>
      <c r="P367">
        <f t="shared" si="42"/>
        <v>15</v>
      </c>
      <c r="Q367" t="str">
        <f t="shared" si="43"/>
        <v>Delayed</v>
      </c>
      <c r="R367" t="str">
        <f t="shared" si="44"/>
        <v>Off367</v>
      </c>
      <c r="S367">
        <v>13</v>
      </c>
      <c r="T367">
        <v>15</v>
      </c>
      <c r="U367">
        <v>23196</v>
      </c>
      <c r="V367">
        <v>24913</v>
      </c>
      <c r="W367" t="str">
        <f t="shared" si="45"/>
        <v>Yes</v>
      </c>
      <c r="X367" t="str">
        <f t="shared" si="46"/>
        <v>Level 1</v>
      </c>
      <c r="Y367" s="2">
        <f t="shared" si="47"/>
        <v>46069</v>
      </c>
    </row>
    <row r="368" spans="1:25" x14ac:dyDescent="0.25">
      <c r="A368" t="s">
        <v>683</v>
      </c>
      <c r="B368" t="s">
        <v>28</v>
      </c>
      <c r="C368" t="s">
        <v>61</v>
      </c>
      <c r="D368" t="s">
        <v>22</v>
      </c>
      <c r="E368" t="s">
        <v>30</v>
      </c>
      <c r="F368" s="1">
        <v>10</v>
      </c>
      <c r="G368" t="s">
        <v>355</v>
      </c>
      <c r="H368" t="s">
        <v>47</v>
      </c>
      <c r="I368" t="s">
        <v>26</v>
      </c>
      <c r="J368" t="s">
        <v>18</v>
      </c>
      <c r="K368" t="str">
        <f t="shared" si="40"/>
        <v>Road Damage</v>
      </c>
      <c r="L368" t="s">
        <v>882</v>
      </c>
      <c r="M368" t="str">
        <f t="shared" si="41"/>
        <v>Road damaged due to heavy rain</v>
      </c>
      <c r="N368">
        <v>5</v>
      </c>
      <c r="O368" t="s">
        <v>37</v>
      </c>
      <c r="P368">
        <f t="shared" si="42"/>
        <v>7</v>
      </c>
      <c r="Q368" t="str">
        <f t="shared" si="43"/>
        <v>Delayed</v>
      </c>
      <c r="R368" t="str">
        <f t="shared" si="44"/>
        <v>Off368</v>
      </c>
      <c r="S368">
        <v>2</v>
      </c>
      <c r="T368">
        <v>8</v>
      </c>
      <c r="U368">
        <v>33956</v>
      </c>
      <c r="V368">
        <v>34247</v>
      </c>
      <c r="W368" t="str">
        <f t="shared" si="45"/>
        <v>Yes</v>
      </c>
      <c r="X368" t="str">
        <f t="shared" si="46"/>
        <v>Level 2</v>
      </c>
      <c r="Y368" s="2">
        <f t="shared" si="47"/>
        <v>45756</v>
      </c>
    </row>
    <row r="369" spans="1:25" x14ac:dyDescent="0.25">
      <c r="A369" t="s">
        <v>684</v>
      </c>
      <c r="B369" t="s">
        <v>60</v>
      </c>
      <c r="C369" t="s">
        <v>76</v>
      </c>
      <c r="D369" t="s">
        <v>13</v>
      </c>
      <c r="E369" t="s">
        <v>23</v>
      </c>
      <c r="F369" s="1">
        <v>22</v>
      </c>
      <c r="G369" t="s">
        <v>685</v>
      </c>
      <c r="H369" t="s">
        <v>16</v>
      </c>
      <c r="I369" t="s">
        <v>65</v>
      </c>
      <c r="J369" t="s">
        <v>18</v>
      </c>
      <c r="K369" t="str">
        <f t="shared" si="40"/>
        <v>General Complaint</v>
      </c>
      <c r="L369" t="s">
        <v>883</v>
      </c>
      <c r="M369" t="str">
        <f t="shared" si="41"/>
        <v>General complaint reported</v>
      </c>
      <c r="N369">
        <v>1</v>
      </c>
      <c r="O369" t="s">
        <v>18</v>
      </c>
      <c r="P369">
        <f t="shared" si="42"/>
        <v>15</v>
      </c>
      <c r="Q369" t="str">
        <f t="shared" si="43"/>
        <v>Delayed</v>
      </c>
      <c r="R369" t="str">
        <f t="shared" si="44"/>
        <v>Off369</v>
      </c>
      <c r="S369">
        <v>10</v>
      </c>
      <c r="T369">
        <v>22</v>
      </c>
      <c r="U369">
        <v>31768</v>
      </c>
      <c r="V369">
        <v>31228</v>
      </c>
      <c r="W369" t="str">
        <f t="shared" si="45"/>
        <v>Yes</v>
      </c>
      <c r="X369" t="str">
        <f t="shared" si="46"/>
        <v>Level 1</v>
      </c>
      <c r="Y369" s="2">
        <f t="shared" si="47"/>
        <v>46056</v>
      </c>
    </row>
    <row r="370" spans="1:25" x14ac:dyDescent="0.25">
      <c r="A370" t="s">
        <v>686</v>
      </c>
      <c r="B370" t="s">
        <v>69</v>
      </c>
      <c r="C370" t="s">
        <v>76</v>
      </c>
      <c r="D370" t="s">
        <v>22</v>
      </c>
      <c r="E370" t="s">
        <v>30</v>
      </c>
      <c r="F370" s="1">
        <v>18</v>
      </c>
      <c r="G370" t="s">
        <v>265</v>
      </c>
      <c r="H370" t="s">
        <v>47</v>
      </c>
      <c r="I370" t="s">
        <v>36</v>
      </c>
      <c r="J370" t="s">
        <v>18</v>
      </c>
      <c r="K370" t="str">
        <f t="shared" si="40"/>
        <v>General Complaint</v>
      </c>
      <c r="L370" t="s">
        <v>884</v>
      </c>
      <c r="M370" t="str">
        <f t="shared" si="41"/>
        <v>General complaint reported</v>
      </c>
      <c r="N370">
        <v>2</v>
      </c>
      <c r="O370" t="s">
        <v>18</v>
      </c>
      <c r="P370">
        <f t="shared" si="42"/>
        <v>7</v>
      </c>
      <c r="Q370" t="str">
        <f t="shared" si="43"/>
        <v>Delayed</v>
      </c>
      <c r="R370" t="str">
        <f t="shared" si="44"/>
        <v>Off370</v>
      </c>
      <c r="S370">
        <v>10</v>
      </c>
      <c r="T370">
        <v>9</v>
      </c>
      <c r="U370">
        <v>47845</v>
      </c>
      <c r="V370">
        <v>47734</v>
      </c>
      <c r="W370" t="str">
        <f t="shared" si="45"/>
        <v>Yes</v>
      </c>
      <c r="X370" t="str">
        <f t="shared" si="46"/>
        <v>Level 2</v>
      </c>
      <c r="Y370" s="2">
        <f t="shared" si="47"/>
        <v>46071</v>
      </c>
    </row>
    <row r="371" spans="1:25" x14ac:dyDescent="0.25">
      <c r="A371" t="s">
        <v>687</v>
      </c>
      <c r="B371" t="s">
        <v>69</v>
      </c>
      <c r="C371" t="s">
        <v>33</v>
      </c>
      <c r="D371" t="s">
        <v>13</v>
      </c>
      <c r="E371" t="s">
        <v>42</v>
      </c>
      <c r="F371" s="1">
        <v>7</v>
      </c>
      <c r="G371" t="s">
        <v>426</v>
      </c>
      <c r="H371" t="s">
        <v>16</v>
      </c>
      <c r="I371" t="s">
        <v>44</v>
      </c>
      <c r="J371" t="s">
        <v>37</v>
      </c>
      <c r="K371" t="str">
        <f t="shared" si="40"/>
        <v>General Complaint</v>
      </c>
      <c r="L371" t="s">
        <v>885</v>
      </c>
      <c r="M371" t="str">
        <f t="shared" si="41"/>
        <v>General complaint reported</v>
      </c>
      <c r="N371">
        <v>2</v>
      </c>
      <c r="O371" t="s">
        <v>18</v>
      </c>
      <c r="P371">
        <f t="shared" si="42"/>
        <v>15</v>
      </c>
      <c r="Q371" t="str">
        <f t="shared" si="43"/>
        <v>Within SLA</v>
      </c>
      <c r="R371" t="str">
        <f t="shared" si="44"/>
        <v>Off371</v>
      </c>
      <c r="S371">
        <v>1</v>
      </c>
      <c r="T371">
        <v>38</v>
      </c>
      <c r="U371">
        <v>27047</v>
      </c>
      <c r="V371">
        <v>28095</v>
      </c>
      <c r="W371" t="str">
        <f t="shared" si="45"/>
        <v>No</v>
      </c>
      <c r="X371" t="str">
        <f t="shared" si="46"/>
        <v>None</v>
      </c>
      <c r="Y371" s="2">
        <f t="shared" si="47"/>
        <v>46087</v>
      </c>
    </row>
    <row r="372" spans="1:25" x14ac:dyDescent="0.25">
      <c r="A372" t="s">
        <v>688</v>
      </c>
      <c r="B372" t="s">
        <v>28</v>
      </c>
      <c r="C372" t="s">
        <v>49</v>
      </c>
      <c r="D372" t="s">
        <v>13</v>
      </c>
      <c r="E372" t="s">
        <v>30</v>
      </c>
      <c r="F372" s="1">
        <v>9</v>
      </c>
      <c r="G372" t="s">
        <v>106</v>
      </c>
      <c r="H372" t="s">
        <v>47</v>
      </c>
      <c r="I372" t="s">
        <v>65</v>
      </c>
      <c r="J372" t="s">
        <v>18</v>
      </c>
      <c r="K372" t="str">
        <f t="shared" si="40"/>
        <v>Road Damage</v>
      </c>
      <c r="L372" t="s">
        <v>881</v>
      </c>
      <c r="M372" t="str">
        <f t="shared" si="41"/>
        <v>Road damaged due to heavy rain</v>
      </c>
      <c r="N372">
        <v>3</v>
      </c>
      <c r="O372" t="s">
        <v>37</v>
      </c>
      <c r="P372">
        <f t="shared" si="42"/>
        <v>15</v>
      </c>
      <c r="Q372" t="str">
        <f t="shared" si="43"/>
        <v>Within SLA</v>
      </c>
      <c r="R372" t="str">
        <f t="shared" si="44"/>
        <v>Off372</v>
      </c>
      <c r="S372">
        <v>11</v>
      </c>
      <c r="T372">
        <v>42</v>
      </c>
      <c r="U372">
        <v>30855</v>
      </c>
      <c r="V372">
        <v>29433</v>
      </c>
      <c r="W372" t="str">
        <f t="shared" si="45"/>
        <v>No</v>
      </c>
      <c r="X372" t="str">
        <f t="shared" si="46"/>
        <v>None</v>
      </c>
      <c r="Y372" s="2">
        <f t="shared" si="47"/>
        <v>46108</v>
      </c>
    </row>
    <row r="373" spans="1:25" x14ac:dyDescent="0.25">
      <c r="A373" t="s">
        <v>689</v>
      </c>
      <c r="B373" t="s">
        <v>20</v>
      </c>
      <c r="C373" t="s">
        <v>33</v>
      </c>
      <c r="D373" t="s">
        <v>34</v>
      </c>
      <c r="E373" t="s">
        <v>23</v>
      </c>
      <c r="F373" s="1">
        <v>15</v>
      </c>
      <c r="G373" t="s">
        <v>690</v>
      </c>
      <c r="H373" t="s">
        <v>25</v>
      </c>
      <c r="I373" t="s">
        <v>44</v>
      </c>
      <c r="J373" t="s">
        <v>18</v>
      </c>
      <c r="K373" t="str">
        <f t="shared" si="40"/>
        <v>Garbage Collection</v>
      </c>
      <c r="L373" t="s">
        <v>882</v>
      </c>
      <c r="M373" t="str">
        <f t="shared" si="41"/>
        <v>Garbage not collected for 3 days</v>
      </c>
      <c r="N373">
        <v>3</v>
      </c>
      <c r="O373" t="s">
        <v>37</v>
      </c>
      <c r="P373">
        <f t="shared" si="42"/>
        <v>3</v>
      </c>
      <c r="Q373" t="str">
        <f t="shared" si="43"/>
        <v>Delayed</v>
      </c>
      <c r="R373" t="str">
        <f t="shared" si="44"/>
        <v>Off373</v>
      </c>
      <c r="S373">
        <v>9</v>
      </c>
      <c r="T373">
        <v>43</v>
      </c>
      <c r="U373">
        <v>23179</v>
      </c>
      <c r="V373">
        <v>22917</v>
      </c>
      <c r="W373" t="str">
        <f t="shared" si="45"/>
        <v>Yes</v>
      </c>
      <c r="X373" t="str">
        <f t="shared" si="46"/>
        <v>Level 3</v>
      </c>
      <c r="Y373" s="2">
        <f t="shared" si="47"/>
        <v>45687</v>
      </c>
    </row>
    <row r="374" spans="1:25" x14ac:dyDescent="0.25">
      <c r="A374" t="s">
        <v>691</v>
      </c>
      <c r="B374" t="s">
        <v>69</v>
      </c>
      <c r="C374" t="s">
        <v>49</v>
      </c>
      <c r="D374" t="s">
        <v>34</v>
      </c>
      <c r="E374" t="s">
        <v>23</v>
      </c>
      <c r="F374" s="1">
        <v>21</v>
      </c>
      <c r="G374" t="s">
        <v>35</v>
      </c>
      <c r="H374" t="s">
        <v>47</v>
      </c>
      <c r="I374" t="s">
        <v>65</v>
      </c>
      <c r="J374" t="s">
        <v>18</v>
      </c>
      <c r="K374" t="str">
        <f t="shared" si="40"/>
        <v>General Complaint</v>
      </c>
      <c r="L374" t="s">
        <v>883</v>
      </c>
      <c r="M374" t="str">
        <f t="shared" si="41"/>
        <v>General complaint reported</v>
      </c>
      <c r="N374">
        <v>5</v>
      </c>
      <c r="O374" t="s">
        <v>37</v>
      </c>
      <c r="P374">
        <f t="shared" si="42"/>
        <v>3</v>
      </c>
      <c r="Q374" t="str">
        <f t="shared" si="43"/>
        <v>Delayed</v>
      </c>
      <c r="R374" t="str">
        <f t="shared" si="44"/>
        <v>Off374</v>
      </c>
      <c r="S374">
        <v>9</v>
      </c>
      <c r="T374">
        <v>37</v>
      </c>
      <c r="U374">
        <v>20351</v>
      </c>
      <c r="V374">
        <v>18892</v>
      </c>
      <c r="W374" t="str">
        <f t="shared" si="45"/>
        <v>Yes</v>
      </c>
      <c r="X374" t="str">
        <f t="shared" si="46"/>
        <v>Level 3</v>
      </c>
      <c r="Y374" s="2">
        <f t="shared" si="47"/>
        <v>45965</v>
      </c>
    </row>
    <row r="375" spans="1:25" x14ac:dyDescent="0.25">
      <c r="A375" t="s">
        <v>692</v>
      </c>
      <c r="B375" t="s">
        <v>53</v>
      </c>
      <c r="C375" t="s">
        <v>33</v>
      </c>
      <c r="D375" t="s">
        <v>13</v>
      </c>
      <c r="E375" t="s">
        <v>42</v>
      </c>
      <c r="F375" s="1">
        <v>9</v>
      </c>
      <c r="G375" t="s">
        <v>693</v>
      </c>
      <c r="H375" t="s">
        <v>47</v>
      </c>
      <c r="I375" t="s">
        <v>36</v>
      </c>
      <c r="J375" t="s">
        <v>18</v>
      </c>
      <c r="K375" t="str">
        <f t="shared" si="40"/>
        <v>Public Transport Delay</v>
      </c>
      <c r="L375" t="s">
        <v>884</v>
      </c>
      <c r="M375" t="str">
        <f t="shared" si="41"/>
        <v>Bus arrival delay reported</v>
      </c>
      <c r="N375">
        <v>1</v>
      </c>
      <c r="O375" t="s">
        <v>18</v>
      </c>
      <c r="P375">
        <f t="shared" si="42"/>
        <v>15</v>
      </c>
      <c r="Q375" t="str">
        <f t="shared" si="43"/>
        <v>Within SLA</v>
      </c>
      <c r="R375" t="str">
        <f t="shared" si="44"/>
        <v>Off375</v>
      </c>
      <c r="S375">
        <v>9</v>
      </c>
      <c r="T375">
        <v>34</v>
      </c>
      <c r="U375">
        <v>33149</v>
      </c>
      <c r="V375">
        <v>31558</v>
      </c>
      <c r="W375" t="str">
        <f t="shared" si="45"/>
        <v>No</v>
      </c>
      <c r="X375" t="str">
        <f t="shared" si="46"/>
        <v>None</v>
      </c>
      <c r="Y375" s="2">
        <f t="shared" si="47"/>
        <v>46033</v>
      </c>
    </row>
    <row r="376" spans="1:25" x14ac:dyDescent="0.25">
      <c r="A376" t="s">
        <v>694</v>
      </c>
      <c r="B376" t="s">
        <v>53</v>
      </c>
      <c r="C376" t="s">
        <v>29</v>
      </c>
      <c r="D376" t="s">
        <v>34</v>
      </c>
      <c r="E376" t="s">
        <v>23</v>
      </c>
      <c r="F376" s="1">
        <v>21</v>
      </c>
      <c r="G376" t="s">
        <v>695</v>
      </c>
      <c r="H376" t="s">
        <v>16</v>
      </c>
      <c r="I376" t="s">
        <v>26</v>
      </c>
      <c r="J376" t="s">
        <v>18</v>
      </c>
      <c r="K376" t="str">
        <f t="shared" si="40"/>
        <v>Public Transport Delay</v>
      </c>
      <c r="L376" t="s">
        <v>885</v>
      </c>
      <c r="M376" t="str">
        <f t="shared" si="41"/>
        <v>Bus arrival delay reported</v>
      </c>
      <c r="N376">
        <v>5</v>
      </c>
      <c r="O376" t="s">
        <v>37</v>
      </c>
      <c r="P376">
        <f t="shared" si="42"/>
        <v>3</v>
      </c>
      <c r="Q376" t="str">
        <f t="shared" si="43"/>
        <v>Delayed</v>
      </c>
      <c r="R376" t="str">
        <f t="shared" si="44"/>
        <v>Off376</v>
      </c>
      <c r="S376">
        <v>2</v>
      </c>
      <c r="T376">
        <v>25</v>
      </c>
      <c r="U376">
        <v>11288</v>
      </c>
      <c r="V376">
        <v>12764</v>
      </c>
      <c r="W376" t="str">
        <f t="shared" si="45"/>
        <v>Yes</v>
      </c>
      <c r="X376" t="str">
        <f t="shared" si="46"/>
        <v>Level 3</v>
      </c>
      <c r="Y376" s="2">
        <f t="shared" si="47"/>
        <v>46025</v>
      </c>
    </row>
    <row r="377" spans="1:25" x14ac:dyDescent="0.25">
      <c r="A377" t="s">
        <v>696</v>
      </c>
      <c r="B377" t="s">
        <v>28</v>
      </c>
      <c r="C377" t="s">
        <v>21</v>
      </c>
      <c r="D377" t="s">
        <v>13</v>
      </c>
      <c r="E377" t="s">
        <v>42</v>
      </c>
      <c r="F377" s="1">
        <v>2</v>
      </c>
      <c r="G377" t="s">
        <v>697</v>
      </c>
      <c r="H377" t="s">
        <v>51</v>
      </c>
      <c r="I377" t="s">
        <v>26</v>
      </c>
      <c r="J377" t="s">
        <v>37</v>
      </c>
      <c r="K377" t="str">
        <f t="shared" si="40"/>
        <v>Road Damage</v>
      </c>
      <c r="L377" t="s">
        <v>881</v>
      </c>
      <c r="M377" t="str">
        <f t="shared" si="41"/>
        <v>Road damaged due to heavy rain</v>
      </c>
      <c r="N377">
        <v>5</v>
      </c>
      <c r="O377" t="s">
        <v>37</v>
      </c>
      <c r="P377">
        <f t="shared" si="42"/>
        <v>15</v>
      </c>
      <c r="Q377" t="str">
        <f t="shared" si="43"/>
        <v>Within SLA</v>
      </c>
      <c r="R377" t="str">
        <f t="shared" si="44"/>
        <v>Off377</v>
      </c>
      <c r="S377">
        <v>9</v>
      </c>
      <c r="T377">
        <v>31</v>
      </c>
      <c r="U377">
        <v>33322</v>
      </c>
      <c r="V377">
        <v>32758</v>
      </c>
      <c r="W377" t="str">
        <f t="shared" si="45"/>
        <v>No</v>
      </c>
      <c r="X377" t="str">
        <f t="shared" si="46"/>
        <v>None</v>
      </c>
      <c r="Y377" s="2">
        <f t="shared" si="47"/>
        <v>45865</v>
      </c>
    </row>
    <row r="378" spans="1:25" x14ac:dyDescent="0.25">
      <c r="A378" t="s">
        <v>698</v>
      </c>
      <c r="B378" t="s">
        <v>53</v>
      </c>
      <c r="C378" t="s">
        <v>84</v>
      </c>
      <c r="D378" t="s">
        <v>34</v>
      </c>
      <c r="E378" t="s">
        <v>14</v>
      </c>
      <c r="F378" s="1">
        <v>0</v>
      </c>
      <c r="G378" t="s">
        <v>699</v>
      </c>
      <c r="H378" t="s">
        <v>40</v>
      </c>
      <c r="I378" t="s">
        <v>36</v>
      </c>
      <c r="J378" t="s">
        <v>37</v>
      </c>
      <c r="K378" t="str">
        <f t="shared" si="40"/>
        <v>Public Transport Delay</v>
      </c>
      <c r="L378" t="s">
        <v>882</v>
      </c>
      <c r="M378" t="str">
        <f t="shared" si="41"/>
        <v>Bus arrival delay reported</v>
      </c>
      <c r="N378">
        <v>3</v>
      </c>
      <c r="O378" t="s">
        <v>37</v>
      </c>
      <c r="P378">
        <f t="shared" si="42"/>
        <v>3</v>
      </c>
      <c r="Q378" t="str">
        <f t="shared" si="43"/>
        <v>Within SLA</v>
      </c>
      <c r="R378" t="str">
        <f t="shared" si="44"/>
        <v>Off378</v>
      </c>
      <c r="S378">
        <v>7</v>
      </c>
      <c r="T378">
        <v>18</v>
      </c>
      <c r="U378">
        <v>12057</v>
      </c>
      <c r="V378">
        <v>11188</v>
      </c>
      <c r="W378" t="str">
        <f t="shared" si="45"/>
        <v>No</v>
      </c>
      <c r="X378" t="str">
        <f t="shared" si="46"/>
        <v>None</v>
      </c>
      <c r="Y378" s="2">
        <f t="shared" si="47"/>
        <v>45720</v>
      </c>
    </row>
    <row r="379" spans="1:25" x14ac:dyDescent="0.25">
      <c r="A379" t="s">
        <v>700</v>
      </c>
      <c r="B379" t="s">
        <v>60</v>
      </c>
      <c r="C379" t="s">
        <v>29</v>
      </c>
      <c r="D379" t="s">
        <v>13</v>
      </c>
      <c r="E379" t="s">
        <v>42</v>
      </c>
      <c r="F379" s="1">
        <v>30</v>
      </c>
      <c r="G379" t="s">
        <v>701</v>
      </c>
      <c r="H379" t="s">
        <v>47</v>
      </c>
      <c r="I379" t="s">
        <v>65</v>
      </c>
      <c r="J379" t="s">
        <v>18</v>
      </c>
      <c r="K379" t="str">
        <f t="shared" si="40"/>
        <v>General Complaint</v>
      </c>
      <c r="L379" t="s">
        <v>883</v>
      </c>
      <c r="M379" t="str">
        <f t="shared" si="41"/>
        <v>General complaint reported</v>
      </c>
      <c r="N379">
        <v>5</v>
      </c>
      <c r="O379" t="s">
        <v>37</v>
      </c>
      <c r="P379">
        <f t="shared" si="42"/>
        <v>15</v>
      </c>
      <c r="Q379" t="str">
        <f t="shared" si="43"/>
        <v>Delayed</v>
      </c>
      <c r="R379" t="str">
        <f t="shared" si="44"/>
        <v>Off379</v>
      </c>
      <c r="S379">
        <v>8</v>
      </c>
      <c r="T379">
        <v>42</v>
      </c>
      <c r="U379">
        <v>21582</v>
      </c>
      <c r="V379">
        <v>21777</v>
      </c>
      <c r="W379" t="str">
        <f t="shared" si="45"/>
        <v>Yes</v>
      </c>
      <c r="X379" t="str">
        <f t="shared" si="46"/>
        <v>Level 1</v>
      </c>
      <c r="Y379" s="2">
        <f t="shared" si="47"/>
        <v>45829</v>
      </c>
    </row>
    <row r="380" spans="1:25" x14ac:dyDescent="0.25">
      <c r="A380" t="s">
        <v>702</v>
      </c>
      <c r="B380" t="s">
        <v>69</v>
      </c>
      <c r="C380" t="s">
        <v>84</v>
      </c>
      <c r="D380" t="s">
        <v>13</v>
      </c>
      <c r="E380" t="s">
        <v>42</v>
      </c>
      <c r="F380" s="1">
        <v>16</v>
      </c>
      <c r="G380" t="s">
        <v>423</v>
      </c>
      <c r="H380" t="s">
        <v>16</v>
      </c>
      <c r="I380" t="s">
        <v>44</v>
      </c>
      <c r="J380" t="s">
        <v>18</v>
      </c>
      <c r="K380" t="str">
        <f t="shared" si="40"/>
        <v>General Complaint</v>
      </c>
      <c r="L380" t="s">
        <v>884</v>
      </c>
      <c r="M380" t="str">
        <f t="shared" si="41"/>
        <v>General complaint reported</v>
      </c>
      <c r="N380">
        <v>3</v>
      </c>
      <c r="O380" t="s">
        <v>37</v>
      </c>
      <c r="P380">
        <f t="shared" si="42"/>
        <v>15</v>
      </c>
      <c r="Q380" t="str">
        <f t="shared" si="43"/>
        <v>Delayed</v>
      </c>
      <c r="R380" t="str">
        <f t="shared" si="44"/>
        <v>Off380</v>
      </c>
      <c r="S380">
        <v>10</v>
      </c>
      <c r="T380">
        <v>22</v>
      </c>
      <c r="U380">
        <v>4789</v>
      </c>
      <c r="V380">
        <v>6371</v>
      </c>
      <c r="W380" t="str">
        <f t="shared" si="45"/>
        <v>Yes</v>
      </c>
      <c r="X380" t="str">
        <f t="shared" si="46"/>
        <v>Level 1</v>
      </c>
      <c r="Y380" s="2">
        <f t="shared" si="47"/>
        <v>46135</v>
      </c>
    </row>
    <row r="381" spans="1:25" x14ac:dyDescent="0.25">
      <c r="A381" t="s">
        <v>703</v>
      </c>
      <c r="B381" t="s">
        <v>53</v>
      </c>
      <c r="C381" t="s">
        <v>84</v>
      </c>
      <c r="D381" t="s">
        <v>34</v>
      </c>
      <c r="E381" t="s">
        <v>14</v>
      </c>
      <c r="F381" s="1">
        <v>43</v>
      </c>
      <c r="G381" t="s">
        <v>704</v>
      </c>
      <c r="H381" t="s">
        <v>25</v>
      </c>
      <c r="I381" t="s">
        <v>44</v>
      </c>
      <c r="J381" t="s">
        <v>18</v>
      </c>
      <c r="K381" t="str">
        <f t="shared" si="40"/>
        <v>Public Transport Delay</v>
      </c>
      <c r="L381" t="s">
        <v>885</v>
      </c>
      <c r="M381" t="str">
        <f t="shared" si="41"/>
        <v>Bus arrival delay reported</v>
      </c>
      <c r="N381">
        <v>2</v>
      </c>
      <c r="O381" t="s">
        <v>18</v>
      </c>
      <c r="P381">
        <f t="shared" si="42"/>
        <v>3</v>
      </c>
      <c r="Q381" t="str">
        <f t="shared" si="43"/>
        <v>Delayed</v>
      </c>
      <c r="R381" t="str">
        <f t="shared" si="44"/>
        <v>Off381</v>
      </c>
      <c r="S381">
        <v>6</v>
      </c>
      <c r="T381">
        <v>38</v>
      </c>
      <c r="U381">
        <v>40056</v>
      </c>
      <c r="V381">
        <v>39088</v>
      </c>
      <c r="W381" t="str">
        <f t="shared" si="45"/>
        <v>Yes</v>
      </c>
      <c r="X381" t="str">
        <f t="shared" si="46"/>
        <v>Level 3</v>
      </c>
      <c r="Y381" s="2">
        <f t="shared" si="47"/>
        <v>45901</v>
      </c>
    </row>
    <row r="382" spans="1:25" x14ac:dyDescent="0.25">
      <c r="A382" t="s">
        <v>705</v>
      </c>
      <c r="B382" t="s">
        <v>60</v>
      </c>
      <c r="C382" t="s">
        <v>29</v>
      </c>
      <c r="D382" t="s">
        <v>22</v>
      </c>
      <c r="E382" t="s">
        <v>23</v>
      </c>
      <c r="F382" s="1">
        <v>9</v>
      </c>
      <c r="G382" t="s">
        <v>706</v>
      </c>
      <c r="H382" t="s">
        <v>40</v>
      </c>
      <c r="I382" t="s">
        <v>65</v>
      </c>
      <c r="J382" t="s">
        <v>18</v>
      </c>
      <c r="K382" t="str">
        <f t="shared" si="40"/>
        <v>General Complaint</v>
      </c>
      <c r="L382" t="s">
        <v>881</v>
      </c>
      <c r="M382" t="str">
        <f t="shared" si="41"/>
        <v>General complaint reported</v>
      </c>
      <c r="N382">
        <v>1</v>
      </c>
      <c r="O382" t="s">
        <v>18</v>
      </c>
      <c r="P382">
        <f t="shared" si="42"/>
        <v>7</v>
      </c>
      <c r="Q382" t="str">
        <f t="shared" si="43"/>
        <v>Delayed</v>
      </c>
      <c r="R382" t="str">
        <f t="shared" si="44"/>
        <v>Off382</v>
      </c>
      <c r="S382">
        <v>9</v>
      </c>
      <c r="T382">
        <v>11</v>
      </c>
      <c r="U382">
        <v>36300</v>
      </c>
      <c r="V382">
        <v>34597</v>
      </c>
      <c r="W382" t="str">
        <f t="shared" si="45"/>
        <v>Yes</v>
      </c>
      <c r="X382" t="str">
        <f t="shared" si="46"/>
        <v>Level 2</v>
      </c>
      <c r="Y382" s="2">
        <f t="shared" si="47"/>
        <v>46146</v>
      </c>
    </row>
    <row r="383" spans="1:25" x14ac:dyDescent="0.25">
      <c r="A383" t="s">
        <v>707</v>
      </c>
      <c r="B383" t="s">
        <v>60</v>
      </c>
      <c r="C383" t="s">
        <v>33</v>
      </c>
      <c r="D383" t="s">
        <v>34</v>
      </c>
      <c r="E383" t="s">
        <v>14</v>
      </c>
      <c r="F383" s="1">
        <v>28</v>
      </c>
      <c r="G383" t="s">
        <v>708</v>
      </c>
      <c r="H383" t="s">
        <v>51</v>
      </c>
      <c r="I383" t="s">
        <v>44</v>
      </c>
      <c r="J383" t="s">
        <v>18</v>
      </c>
      <c r="K383" t="str">
        <f t="shared" si="40"/>
        <v>General Complaint</v>
      </c>
      <c r="L383" t="s">
        <v>882</v>
      </c>
      <c r="M383" t="str">
        <f t="shared" si="41"/>
        <v>General complaint reported</v>
      </c>
      <c r="N383">
        <v>1</v>
      </c>
      <c r="O383" t="s">
        <v>18</v>
      </c>
      <c r="P383">
        <f t="shared" si="42"/>
        <v>3</v>
      </c>
      <c r="Q383" t="str">
        <f t="shared" si="43"/>
        <v>Delayed</v>
      </c>
      <c r="R383" t="str">
        <f t="shared" si="44"/>
        <v>Off383</v>
      </c>
      <c r="S383">
        <v>15</v>
      </c>
      <c r="T383">
        <v>6</v>
      </c>
      <c r="U383">
        <v>37171</v>
      </c>
      <c r="V383">
        <v>36451</v>
      </c>
      <c r="W383" t="str">
        <f t="shared" si="45"/>
        <v>Yes</v>
      </c>
      <c r="X383" t="str">
        <f t="shared" si="46"/>
        <v>Level 3</v>
      </c>
      <c r="Y383" s="2">
        <f t="shared" si="47"/>
        <v>46131</v>
      </c>
    </row>
    <row r="384" spans="1:25" x14ac:dyDescent="0.25">
      <c r="A384" t="s">
        <v>709</v>
      </c>
      <c r="B384" t="s">
        <v>53</v>
      </c>
      <c r="C384" t="s">
        <v>33</v>
      </c>
      <c r="D384" t="s">
        <v>34</v>
      </c>
      <c r="E384" t="s">
        <v>42</v>
      </c>
      <c r="F384" s="1">
        <v>17</v>
      </c>
      <c r="G384" t="s">
        <v>710</v>
      </c>
      <c r="H384" t="s">
        <v>51</v>
      </c>
      <c r="I384" t="s">
        <v>44</v>
      </c>
      <c r="J384" t="s">
        <v>18</v>
      </c>
      <c r="K384" t="str">
        <f t="shared" si="40"/>
        <v>Public Transport Delay</v>
      </c>
      <c r="L384" t="s">
        <v>883</v>
      </c>
      <c r="M384" t="str">
        <f t="shared" si="41"/>
        <v>Bus arrival delay reported</v>
      </c>
      <c r="N384">
        <v>4</v>
      </c>
      <c r="O384" t="s">
        <v>37</v>
      </c>
      <c r="P384">
        <f t="shared" si="42"/>
        <v>3</v>
      </c>
      <c r="Q384" t="str">
        <f t="shared" si="43"/>
        <v>Delayed</v>
      </c>
      <c r="R384" t="str">
        <f t="shared" si="44"/>
        <v>Off384</v>
      </c>
      <c r="S384">
        <v>5</v>
      </c>
      <c r="T384">
        <v>12</v>
      </c>
      <c r="U384">
        <v>19288</v>
      </c>
      <c r="V384">
        <v>19997</v>
      </c>
      <c r="W384" t="str">
        <f t="shared" si="45"/>
        <v>Yes</v>
      </c>
      <c r="X384" t="str">
        <f t="shared" si="46"/>
        <v>Level 3</v>
      </c>
      <c r="Y384" s="2">
        <f t="shared" si="47"/>
        <v>45871</v>
      </c>
    </row>
    <row r="385" spans="1:25" x14ac:dyDescent="0.25">
      <c r="A385" t="s">
        <v>711</v>
      </c>
      <c r="B385" t="s">
        <v>69</v>
      </c>
      <c r="C385" t="s">
        <v>76</v>
      </c>
      <c r="D385" t="s">
        <v>34</v>
      </c>
      <c r="E385" t="s">
        <v>23</v>
      </c>
      <c r="F385" s="1">
        <v>26</v>
      </c>
      <c r="G385" t="s">
        <v>712</v>
      </c>
      <c r="H385" t="s">
        <v>51</v>
      </c>
      <c r="I385" t="s">
        <v>36</v>
      </c>
      <c r="J385" t="s">
        <v>18</v>
      </c>
      <c r="K385" t="str">
        <f t="shared" si="40"/>
        <v>General Complaint</v>
      </c>
      <c r="L385" t="s">
        <v>884</v>
      </c>
      <c r="M385" t="str">
        <f t="shared" si="41"/>
        <v>General complaint reported</v>
      </c>
      <c r="N385">
        <v>5</v>
      </c>
      <c r="O385" t="s">
        <v>37</v>
      </c>
      <c r="P385">
        <f t="shared" si="42"/>
        <v>3</v>
      </c>
      <c r="Q385" t="str">
        <f t="shared" si="43"/>
        <v>Delayed</v>
      </c>
      <c r="R385" t="str">
        <f t="shared" si="44"/>
        <v>Off385</v>
      </c>
      <c r="S385">
        <v>4</v>
      </c>
      <c r="T385">
        <v>14</v>
      </c>
      <c r="U385">
        <v>7462</v>
      </c>
      <c r="V385">
        <v>8007</v>
      </c>
      <c r="W385" t="str">
        <f t="shared" si="45"/>
        <v>Yes</v>
      </c>
      <c r="X385" t="str">
        <f t="shared" si="46"/>
        <v>Level 3</v>
      </c>
      <c r="Y385" s="2">
        <f t="shared" si="47"/>
        <v>46110</v>
      </c>
    </row>
    <row r="386" spans="1:25" x14ac:dyDescent="0.25">
      <c r="A386" t="s">
        <v>713</v>
      </c>
      <c r="B386" t="s">
        <v>20</v>
      </c>
      <c r="C386" t="s">
        <v>84</v>
      </c>
      <c r="D386" t="s">
        <v>22</v>
      </c>
      <c r="E386" t="s">
        <v>14</v>
      </c>
      <c r="F386" s="1">
        <v>14</v>
      </c>
      <c r="G386" t="s">
        <v>714</v>
      </c>
      <c r="H386" t="s">
        <v>25</v>
      </c>
      <c r="I386" t="s">
        <v>26</v>
      </c>
      <c r="J386" t="s">
        <v>18</v>
      </c>
      <c r="K386" t="str">
        <f t="shared" si="40"/>
        <v>Garbage Collection</v>
      </c>
      <c r="L386" t="s">
        <v>885</v>
      </c>
      <c r="M386" t="str">
        <f t="shared" si="41"/>
        <v>Garbage not collected for 3 days</v>
      </c>
      <c r="N386">
        <v>1</v>
      </c>
      <c r="O386" t="s">
        <v>18</v>
      </c>
      <c r="P386">
        <f t="shared" si="42"/>
        <v>7</v>
      </c>
      <c r="Q386" t="str">
        <f t="shared" si="43"/>
        <v>Delayed</v>
      </c>
      <c r="R386" t="str">
        <f t="shared" si="44"/>
        <v>Off386</v>
      </c>
      <c r="S386">
        <v>3</v>
      </c>
      <c r="T386">
        <v>15</v>
      </c>
      <c r="U386">
        <v>9883</v>
      </c>
      <c r="V386">
        <v>11062</v>
      </c>
      <c r="W386" t="str">
        <f t="shared" si="45"/>
        <v>Yes</v>
      </c>
      <c r="X386" t="str">
        <f t="shared" si="46"/>
        <v>Level 2</v>
      </c>
      <c r="Y386" s="2">
        <f t="shared" si="47"/>
        <v>46039</v>
      </c>
    </row>
    <row r="387" spans="1:25" x14ac:dyDescent="0.25">
      <c r="A387" t="s">
        <v>715</v>
      </c>
      <c r="B387" t="s">
        <v>69</v>
      </c>
      <c r="C387" t="s">
        <v>39</v>
      </c>
      <c r="D387" t="s">
        <v>22</v>
      </c>
      <c r="E387" t="s">
        <v>23</v>
      </c>
      <c r="F387" s="1">
        <v>27</v>
      </c>
      <c r="G387" t="s">
        <v>716</v>
      </c>
      <c r="H387" t="s">
        <v>40</v>
      </c>
      <c r="I387" t="s">
        <v>44</v>
      </c>
      <c r="J387" t="s">
        <v>18</v>
      </c>
      <c r="K387" t="str">
        <f t="shared" ref="K387:K450" si="48">IF(B387="Water Supply","Water Leakage",
IF(B387="Roads","Road Damage",
IF(B387="Municipal Services","Garbage Collection",
IF(B387="Electricity","Street Light Failure",
IF(B387="Public Transport","Public Transport Delay","General Complaint")))))</f>
        <v>General Complaint</v>
      </c>
      <c r="L387" t="s">
        <v>881</v>
      </c>
      <c r="M387" t="str">
        <f t="shared" ref="M387:M450" si="49">IF(K387="Water Leakage","Water pipe leakage near school",
IF(K387="Road Damage","Road damaged due to heavy rain",
IF(K387="Garbage Collection","Garbage not collected for 3 days",
IF(K387="Street Light Failure","Street light not working in residential area",
IF(K387="Public Transport Delay","Bus arrival delay reported",
"General complaint reported")))))</f>
        <v>General complaint reported</v>
      </c>
      <c r="N387">
        <v>3</v>
      </c>
      <c r="O387" t="s">
        <v>37</v>
      </c>
      <c r="P387">
        <f t="shared" ref="P387:P450" si="50">IF(D387="High",3,
IF(D387="Medium",7,15))</f>
        <v>7</v>
      </c>
      <c r="Q387" t="str">
        <f t="shared" ref="Q387:Q450" si="51">IF(F387&lt;=P387,"Within SLA","Delayed")</f>
        <v>Delayed</v>
      </c>
      <c r="R387" t="str">
        <f t="shared" ref="R387:R450" si="52">"Off"&amp;TEXT(ROW(A387),"000")</f>
        <v>Off387</v>
      </c>
      <c r="S387">
        <v>15</v>
      </c>
      <c r="T387">
        <v>36</v>
      </c>
      <c r="U387">
        <v>31828</v>
      </c>
      <c r="V387">
        <v>32577</v>
      </c>
      <c r="W387" t="str">
        <f t="shared" ref="W387:W450" si="53">IF(F387&gt;P387,"Yes","No")</f>
        <v>Yes</v>
      </c>
      <c r="X387" t="str">
        <f t="shared" ref="X387:X450" si="54">IF(W387="No","None",
IF(D387="High","Level 3",
IF(D387="Medium","Level 2","Level 1")))</f>
        <v>Level 2</v>
      </c>
      <c r="Y387" s="2">
        <f t="shared" ref="Y387:Y450" si="55">G387+F387</f>
        <v>45756</v>
      </c>
    </row>
    <row r="388" spans="1:25" x14ac:dyDescent="0.25">
      <c r="A388" t="s">
        <v>717</v>
      </c>
      <c r="B388" t="s">
        <v>53</v>
      </c>
      <c r="C388" t="s">
        <v>12</v>
      </c>
      <c r="D388" t="s">
        <v>13</v>
      </c>
      <c r="E388" t="s">
        <v>23</v>
      </c>
      <c r="F388" s="1">
        <v>3</v>
      </c>
      <c r="G388" t="s">
        <v>468</v>
      </c>
      <c r="H388" t="s">
        <v>25</v>
      </c>
      <c r="I388" t="s">
        <v>26</v>
      </c>
      <c r="J388" t="s">
        <v>37</v>
      </c>
      <c r="K388" t="str">
        <f t="shared" si="48"/>
        <v>Public Transport Delay</v>
      </c>
      <c r="L388" t="s">
        <v>882</v>
      </c>
      <c r="M388" t="str">
        <f t="shared" si="49"/>
        <v>Bus arrival delay reported</v>
      </c>
      <c r="N388">
        <v>4</v>
      </c>
      <c r="O388" t="s">
        <v>37</v>
      </c>
      <c r="P388">
        <f t="shared" si="50"/>
        <v>15</v>
      </c>
      <c r="Q388" t="str">
        <f t="shared" si="51"/>
        <v>Within SLA</v>
      </c>
      <c r="R388" t="str">
        <f t="shared" si="52"/>
        <v>Off388</v>
      </c>
      <c r="S388">
        <v>1</v>
      </c>
      <c r="T388">
        <v>30</v>
      </c>
      <c r="U388">
        <v>10191</v>
      </c>
      <c r="V388">
        <v>8278</v>
      </c>
      <c r="W388" t="str">
        <f t="shared" si="53"/>
        <v>No</v>
      </c>
      <c r="X388" t="str">
        <f t="shared" si="54"/>
        <v>None</v>
      </c>
      <c r="Y388" s="2">
        <f t="shared" si="55"/>
        <v>45965</v>
      </c>
    </row>
    <row r="389" spans="1:25" x14ac:dyDescent="0.25">
      <c r="A389" t="s">
        <v>718</v>
      </c>
      <c r="B389" t="s">
        <v>69</v>
      </c>
      <c r="C389" t="s">
        <v>29</v>
      </c>
      <c r="D389" t="s">
        <v>22</v>
      </c>
      <c r="E389" t="s">
        <v>14</v>
      </c>
      <c r="F389" s="1">
        <v>31</v>
      </c>
      <c r="G389" t="s">
        <v>46</v>
      </c>
      <c r="H389" t="s">
        <v>51</v>
      </c>
      <c r="I389" t="s">
        <v>65</v>
      </c>
      <c r="J389" t="s">
        <v>18</v>
      </c>
      <c r="K389" t="str">
        <f t="shared" si="48"/>
        <v>General Complaint</v>
      </c>
      <c r="L389" t="s">
        <v>883</v>
      </c>
      <c r="M389" t="str">
        <f t="shared" si="49"/>
        <v>General complaint reported</v>
      </c>
      <c r="N389">
        <v>2</v>
      </c>
      <c r="O389" t="s">
        <v>18</v>
      </c>
      <c r="P389">
        <f t="shared" si="50"/>
        <v>7</v>
      </c>
      <c r="Q389" t="str">
        <f t="shared" si="51"/>
        <v>Delayed</v>
      </c>
      <c r="R389" t="str">
        <f t="shared" si="52"/>
        <v>Off389</v>
      </c>
      <c r="S389">
        <v>12</v>
      </c>
      <c r="T389">
        <v>14</v>
      </c>
      <c r="U389">
        <v>33781</v>
      </c>
      <c r="V389">
        <v>35629</v>
      </c>
      <c r="W389" t="str">
        <f t="shared" si="53"/>
        <v>Yes</v>
      </c>
      <c r="X389" t="str">
        <f t="shared" si="54"/>
        <v>Level 2</v>
      </c>
      <c r="Y389" s="2">
        <f t="shared" si="55"/>
        <v>45689</v>
      </c>
    </row>
    <row r="390" spans="1:25" x14ac:dyDescent="0.25">
      <c r="A390" t="s">
        <v>719</v>
      </c>
      <c r="B390" t="s">
        <v>11</v>
      </c>
      <c r="C390" t="s">
        <v>76</v>
      </c>
      <c r="D390" t="s">
        <v>22</v>
      </c>
      <c r="E390" t="s">
        <v>23</v>
      </c>
      <c r="F390" s="1">
        <v>14</v>
      </c>
      <c r="G390" t="s">
        <v>321</v>
      </c>
      <c r="H390" t="s">
        <v>58</v>
      </c>
      <c r="I390" t="s">
        <v>65</v>
      </c>
      <c r="J390" t="s">
        <v>18</v>
      </c>
      <c r="K390" t="str">
        <f t="shared" si="48"/>
        <v>Water Leakage</v>
      </c>
      <c r="L390" t="s">
        <v>884</v>
      </c>
      <c r="M390" t="str">
        <f t="shared" si="49"/>
        <v>Water pipe leakage near school</v>
      </c>
      <c r="N390">
        <v>4</v>
      </c>
      <c r="O390" t="s">
        <v>37</v>
      </c>
      <c r="P390">
        <f t="shared" si="50"/>
        <v>7</v>
      </c>
      <c r="Q390" t="str">
        <f t="shared" si="51"/>
        <v>Delayed</v>
      </c>
      <c r="R390" t="str">
        <f t="shared" si="52"/>
        <v>Off390</v>
      </c>
      <c r="S390">
        <v>12</v>
      </c>
      <c r="T390">
        <v>45</v>
      </c>
      <c r="U390">
        <v>25679</v>
      </c>
      <c r="V390">
        <v>26048</v>
      </c>
      <c r="W390" t="str">
        <f t="shared" si="53"/>
        <v>Yes</v>
      </c>
      <c r="X390" t="str">
        <f t="shared" si="54"/>
        <v>Level 2</v>
      </c>
      <c r="Y390" s="2">
        <f t="shared" si="55"/>
        <v>45796</v>
      </c>
    </row>
    <row r="391" spans="1:25" x14ac:dyDescent="0.25">
      <c r="A391" t="s">
        <v>720</v>
      </c>
      <c r="B391" t="s">
        <v>69</v>
      </c>
      <c r="C391" t="s">
        <v>33</v>
      </c>
      <c r="D391" t="s">
        <v>13</v>
      </c>
      <c r="E391" t="s">
        <v>42</v>
      </c>
      <c r="F391" s="1">
        <v>4</v>
      </c>
      <c r="G391" t="s">
        <v>610</v>
      </c>
      <c r="H391" t="s">
        <v>40</v>
      </c>
      <c r="I391" t="s">
        <v>44</v>
      </c>
      <c r="J391" t="s">
        <v>37</v>
      </c>
      <c r="K391" t="str">
        <f t="shared" si="48"/>
        <v>General Complaint</v>
      </c>
      <c r="L391" t="s">
        <v>885</v>
      </c>
      <c r="M391" t="str">
        <f t="shared" si="49"/>
        <v>General complaint reported</v>
      </c>
      <c r="N391">
        <v>1</v>
      </c>
      <c r="O391" t="s">
        <v>18</v>
      </c>
      <c r="P391">
        <f t="shared" si="50"/>
        <v>15</v>
      </c>
      <c r="Q391" t="str">
        <f t="shared" si="51"/>
        <v>Within SLA</v>
      </c>
      <c r="R391" t="str">
        <f t="shared" si="52"/>
        <v>Off391</v>
      </c>
      <c r="S391">
        <v>7</v>
      </c>
      <c r="T391">
        <v>28</v>
      </c>
      <c r="U391">
        <v>29943</v>
      </c>
      <c r="V391">
        <v>31757</v>
      </c>
      <c r="W391" t="str">
        <f t="shared" si="53"/>
        <v>No</v>
      </c>
      <c r="X391" t="str">
        <f t="shared" si="54"/>
        <v>None</v>
      </c>
      <c r="Y391" s="2">
        <f t="shared" si="55"/>
        <v>45967</v>
      </c>
    </row>
    <row r="392" spans="1:25" x14ac:dyDescent="0.25">
      <c r="A392" t="s">
        <v>721</v>
      </c>
      <c r="B392" t="s">
        <v>28</v>
      </c>
      <c r="C392" t="s">
        <v>39</v>
      </c>
      <c r="D392" t="s">
        <v>34</v>
      </c>
      <c r="E392" t="s">
        <v>42</v>
      </c>
      <c r="F392" s="1">
        <v>25</v>
      </c>
      <c r="G392" t="s">
        <v>15</v>
      </c>
      <c r="H392" t="s">
        <v>40</v>
      </c>
      <c r="I392" t="s">
        <v>44</v>
      </c>
      <c r="J392" t="s">
        <v>18</v>
      </c>
      <c r="K392" t="str">
        <f t="shared" si="48"/>
        <v>Road Damage</v>
      </c>
      <c r="L392" t="s">
        <v>881</v>
      </c>
      <c r="M392" t="str">
        <f t="shared" si="49"/>
        <v>Road damaged due to heavy rain</v>
      </c>
      <c r="N392">
        <v>4</v>
      </c>
      <c r="O392" t="s">
        <v>37</v>
      </c>
      <c r="P392">
        <f t="shared" si="50"/>
        <v>3</v>
      </c>
      <c r="Q392" t="str">
        <f t="shared" si="51"/>
        <v>Delayed</v>
      </c>
      <c r="R392" t="str">
        <f t="shared" si="52"/>
        <v>Off392</v>
      </c>
      <c r="S392">
        <v>14</v>
      </c>
      <c r="T392">
        <v>24</v>
      </c>
      <c r="U392">
        <v>43195</v>
      </c>
      <c r="V392">
        <v>43482</v>
      </c>
      <c r="W392" t="str">
        <f t="shared" si="53"/>
        <v>Yes</v>
      </c>
      <c r="X392" t="str">
        <f t="shared" si="54"/>
        <v>Level 3</v>
      </c>
      <c r="Y392" s="2">
        <f t="shared" si="55"/>
        <v>45809</v>
      </c>
    </row>
    <row r="393" spans="1:25" x14ac:dyDescent="0.25">
      <c r="A393" t="s">
        <v>722</v>
      </c>
      <c r="B393" t="s">
        <v>53</v>
      </c>
      <c r="C393" t="s">
        <v>33</v>
      </c>
      <c r="D393" t="s">
        <v>22</v>
      </c>
      <c r="E393" t="s">
        <v>30</v>
      </c>
      <c r="F393" s="1">
        <v>30</v>
      </c>
      <c r="G393" t="s">
        <v>292</v>
      </c>
      <c r="H393" t="s">
        <v>25</v>
      </c>
      <c r="I393" t="s">
        <v>44</v>
      </c>
      <c r="J393" t="s">
        <v>18</v>
      </c>
      <c r="K393" t="str">
        <f t="shared" si="48"/>
        <v>Public Transport Delay</v>
      </c>
      <c r="L393" t="s">
        <v>882</v>
      </c>
      <c r="M393" t="str">
        <f t="shared" si="49"/>
        <v>Bus arrival delay reported</v>
      </c>
      <c r="N393">
        <v>5</v>
      </c>
      <c r="O393" t="s">
        <v>37</v>
      </c>
      <c r="P393">
        <f t="shared" si="50"/>
        <v>7</v>
      </c>
      <c r="Q393" t="str">
        <f t="shared" si="51"/>
        <v>Delayed</v>
      </c>
      <c r="R393" t="str">
        <f t="shared" si="52"/>
        <v>Off393</v>
      </c>
      <c r="S393">
        <v>11</v>
      </c>
      <c r="T393">
        <v>36</v>
      </c>
      <c r="U393">
        <v>24868</v>
      </c>
      <c r="V393">
        <v>25350</v>
      </c>
      <c r="W393" t="str">
        <f t="shared" si="53"/>
        <v>Yes</v>
      </c>
      <c r="X393" t="str">
        <f t="shared" si="54"/>
        <v>Level 2</v>
      </c>
      <c r="Y393" s="2">
        <f t="shared" si="55"/>
        <v>46209</v>
      </c>
    </row>
    <row r="394" spans="1:25" x14ac:dyDescent="0.25">
      <c r="A394" t="s">
        <v>723</v>
      </c>
      <c r="B394" t="s">
        <v>53</v>
      </c>
      <c r="C394" t="s">
        <v>84</v>
      </c>
      <c r="D394" t="s">
        <v>13</v>
      </c>
      <c r="E394" t="s">
        <v>30</v>
      </c>
      <c r="F394" s="1">
        <v>37</v>
      </c>
      <c r="G394" t="s">
        <v>724</v>
      </c>
      <c r="H394" t="s">
        <v>16</v>
      </c>
      <c r="I394" t="s">
        <v>17</v>
      </c>
      <c r="J394" t="s">
        <v>18</v>
      </c>
      <c r="K394" t="str">
        <f t="shared" si="48"/>
        <v>Public Transport Delay</v>
      </c>
      <c r="L394" t="s">
        <v>883</v>
      </c>
      <c r="M394" t="str">
        <f t="shared" si="49"/>
        <v>Bus arrival delay reported</v>
      </c>
      <c r="N394">
        <v>4</v>
      </c>
      <c r="O394" t="s">
        <v>37</v>
      </c>
      <c r="P394">
        <f t="shared" si="50"/>
        <v>15</v>
      </c>
      <c r="Q394" t="str">
        <f t="shared" si="51"/>
        <v>Delayed</v>
      </c>
      <c r="R394" t="str">
        <f t="shared" si="52"/>
        <v>Off394</v>
      </c>
      <c r="S394">
        <v>10</v>
      </c>
      <c r="T394">
        <v>36</v>
      </c>
      <c r="U394">
        <v>31835</v>
      </c>
      <c r="V394">
        <v>33333</v>
      </c>
      <c r="W394" t="str">
        <f t="shared" si="53"/>
        <v>Yes</v>
      </c>
      <c r="X394" t="str">
        <f t="shared" si="54"/>
        <v>Level 1</v>
      </c>
      <c r="Y394" s="2">
        <f t="shared" si="55"/>
        <v>45812</v>
      </c>
    </row>
    <row r="395" spans="1:25" x14ac:dyDescent="0.25">
      <c r="A395" t="s">
        <v>725</v>
      </c>
      <c r="B395" t="s">
        <v>60</v>
      </c>
      <c r="C395" t="s">
        <v>76</v>
      </c>
      <c r="D395" t="s">
        <v>22</v>
      </c>
      <c r="E395" t="s">
        <v>14</v>
      </c>
      <c r="F395" s="1">
        <v>15</v>
      </c>
      <c r="G395" t="s">
        <v>224</v>
      </c>
      <c r="H395" t="s">
        <v>58</v>
      </c>
      <c r="I395" t="s">
        <v>26</v>
      </c>
      <c r="J395" t="s">
        <v>18</v>
      </c>
      <c r="K395" t="str">
        <f t="shared" si="48"/>
        <v>General Complaint</v>
      </c>
      <c r="L395" t="s">
        <v>884</v>
      </c>
      <c r="M395" t="str">
        <f t="shared" si="49"/>
        <v>General complaint reported</v>
      </c>
      <c r="N395">
        <v>5</v>
      </c>
      <c r="O395" t="s">
        <v>37</v>
      </c>
      <c r="P395">
        <f t="shared" si="50"/>
        <v>7</v>
      </c>
      <c r="Q395" t="str">
        <f t="shared" si="51"/>
        <v>Delayed</v>
      </c>
      <c r="R395" t="str">
        <f t="shared" si="52"/>
        <v>Off395</v>
      </c>
      <c r="S395">
        <v>2</v>
      </c>
      <c r="T395">
        <v>24</v>
      </c>
      <c r="U395">
        <v>5862</v>
      </c>
      <c r="V395">
        <v>4509</v>
      </c>
      <c r="W395" t="str">
        <f t="shared" si="53"/>
        <v>Yes</v>
      </c>
      <c r="X395" t="str">
        <f t="shared" si="54"/>
        <v>Level 2</v>
      </c>
      <c r="Y395" s="2">
        <f t="shared" si="55"/>
        <v>45913</v>
      </c>
    </row>
    <row r="396" spans="1:25" x14ac:dyDescent="0.25">
      <c r="A396" t="s">
        <v>726</v>
      </c>
      <c r="B396" t="s">
        <v>20</v>
      </c>
      <c r="C396" t="s">
        <v>56</v>
      </c>
      <c r="D396" t="s">
        <v>22</v>
      </c>
      <c r="E396" t="s">
        <v>23</v>
      </c>
      <c r="F396" s="1">
        <v>27</v>
      </c>
      <c r="G396" t="s">
        <v>724</v>
      </c>
      <c r="H396" t="s">
        <v>25</v>
      </c>
      <c r="I396" t="s">
        <v>26</v>
      </c>
      <c r="J396" t="s">
        <v>18</v>
      </c>
      <c r="K396" t="str">
        <f t="shared" si="48"/>
        <v>Garbage Collection</v>
      </c>
      <c r="L396" t="s">
        <v>885</v>
      </c>
      <c r="M396" t="str">
        <f t="shared" si="49"/>
        <v>Garbage not collected for 3 days</v>
      </c>
      <c r="N396">
        <v>5</v>
      </c>
      <c r="O396" t="s">
        <v>37</v>
      </c>
      <c r="P396">
        <f t="shared" si="50"/>
        <v>7</v>
      </c>
      <c r="Q396" t="str">
        <f t="shared" si="51"/>
        <v>Delayed</v>
      </c>
      <c r="R396" t="str">
        <f t="shared" si="52"/>
        <v>Off396</v>
      </c>
      <c r="S396">
        <v>5</v>
      </c>
      <c r="T396">
        <v>10</v>
      </c>
      <c r="U396">
        <v>15238</v>
      </c>
      <c r="V396">
        <v>16244</v>
      </c>
      <c r="W396" t="str">
        <f t="shared" si="53"/>
        <v>Yes</v>
      </c>
      <c r="X396" t="str">
        <f t="shared" si="54"/>
        <v>Level 2</v>
      </c>
      <c r="Y396" s="2">
        <f t="shared" si="55"/>
        <v>45802</v>
      </c>
    </row>
    <row r="397" spans="1:25" x14ac:dyDescent="0.25">
      <c r="A397" t="s">
        <v>727</v>
      </c>
      <c r="B397" t="s">
        <v>11</v>
      </c>
      <c r="C397" t="s">
        <v>56</v>
      </c>
      <c r="D397" t="s">
        <v>22</v>
      </c>
      <c r="E397" t="s">
        <v>23</v>
      </c>
      <c r="F397" s="1">
        <v>30</v>
      </c>
      <c r="G397" t="s">
        <v>203</v>
      </c>
      <c r="H397" t="s">
        <v>40</v>
      </c>
      <c r="I397" t="s">
        <v>65</v>
      </c>
      <c r="J397" t="s">
        <v>18</v>
      </c>
      <c r="K397" t="str">
        <f t="shared" si="48"/>
        <v>Water Leakage</v>
      </c>
      <c r="L397" t="s">
        <v>881</v>
      </c>
      <c r="M397" t="str">
        <f t="shared" si="49"/>
        <v>Water pipe leakage near school</v>
      </c>
      <c r="N397">
        <v>1</v>
      </c>
      <c r="O397" t="s">
        <v>18</v>
      </c>
      <c r="P397">
        <f t="shared" si="50"/>
        <v>7</v>
      </c>
      <c r="Q397" t="str">
        <f t="shared" si="51"/>
        <v>Delayed</v>
      </c>
      <c r="R397" t="str">
        <f t="shared" si="52"/>
        <v>Off397</v>
      </c>
      <c r="S397">
        <v>9</v>
      </c>
      <c r="T397">
        <v>5</v>
      </c>
      <c r="U397">
        <v>3284</v>
      </c>
      <c r="V397">
        <v>2671</v>
      </c>
      <c r="W397" t="str">
        <f t="shared" si="53"/>
        <v>Yes</v>
      </c>
      <c r="X397" t="str">
        <f t="shared" si="54"/>
        <v>Level 2</v>
      </c>
      <c r="Y397" s="2">
        <f t="shared" si="55"/>
        <v>45923</v>
      </c>
    </row>
    <row r="398" spans="1:25" x14ac:dyDescent="0.25">
      <c r="A398" t="s">
        <v>728</v>
      </c>
      <c r="B398" t="s">
        <v>28</v>
      </c>
      <c r="C398" t="s">
        <v>61</v>
      </c>
      <c r="D398" t="s">
        <v>13</v>
      </c>
      <c r="E398" t="s">
        <v>14</v>
      </c>
      <c r="F398" s="1">
        <v>33</v>
      </c>
      <c r="G398" t="s">
        <v>576</v>
      </c>
      <c r="H398" t="s">
        <v>51</v>
      </c>
      <c r="I398" t="s">
        <v>26</v>
      </c>
      <c r="J398" t="s">
        <v>18</v>
      </c>
      <c r="K398" t="str">
        <f t="shared" si="48"/>
        <v>Road Damage</v>
      </c>
      <c r="L398" t="s">
        <v>882</v>
      </c>
      <c r="M398" t="str">
        <f t="shared" si="49"/>
        <v>Road damaged due to heavy rain</v>
      </c>
      <c r="N398">
        <v>4</v>
      </c>
      <c r="O398" t="s">
        <v>37</v>
      </c>
      <c r="P398">
        <f t="shared" si="50"/>
        <v>15</v>
      </c>
      <c r="Q398" t="str">
        <f t="shared" si="51"/>
        <v>Delayed</v>
      </c>
      <c r="R398" t="str">
        <f t="shared" si="52"/>
        <v>Off398</v>
      </c>
      <c r="S398">
        <v>14</v>
      </c>
      <c r="T398">
        <v>6</v>
      </c>
      <c r="U398">
        <v>19747</v>
      </c>
      <c r="V398">
        <v>21231</v>
      </c>
      <c r="W398" t="str">
        <f t="shared" si="53"/>
        <v>Yes</v>
      </c>
      <c r="X398" t="str">
        <f t="shared" si="54"/>
        <v>Level 1</v>
      </c>
      <c r="Y398" s="2">
        <f t="shared" si="55"/>
        <v>45773</v>
      </c>
    </row>
    <row r="399" spans="1:25" x14ac:dyDescent="0.25">
      <c r="A399" t="s">
        <v>729</v>
      </c>
      <c r="B399" t="s">
        <v>69</v>
      </c>
      <c r="C399" t="s">
        <v>49</v>
      </c>
      <c r="D399" t="s">
        <v>22</v>
      </c>
      <c r="E399" t="s">
        <v>14</v>
      </c>
      <c r="F399" s="1">
        <v>7</v>
      </c>
      <c r="G399" t="s">
        <v>374</v>
      </c>
      <c r="H399" t="s">
        <v>40</v>
      </c>
      <c r="I399" t="s">
        <v>36</v>
      </c>
      <c r="J399" t="s">
        <v>37</v>
      </c>
      <c r="K399" t="str">
        <f t="shared" si="48"/>
        <v>General Complaint</v>
      </c>
      <c r="L399" t="s">
        <v>883</v>
      </c>
      <c r="M399" t="str">
        <f t="shared" si="49"/>
        <v>General complaint reported</v>
      </c>
      <c r="N399">
        <v>1</v>
      </c>
      <c r="O399" t="s">
        <v>18</v>
      </c>
      <c r="P399">
        <f t="shared" si="50"/>
        <v>7</v>
      </c>
      <c r="Q399" t="str">
        <f t="shared" si="51"/>
        <v>Within SLA</v>
      </c>
      <c r="R399" t="str">
        <f t="shared" si="52"/>
        <v>Off399</v>
      </c>
      <c r="S399">
        <v>13</v>
      </c>
      <c r="T399">
        <v>22</v>
      </c>
      <c r="U399">
        <v>48081</v>
      </c>
      <c r="V399">
        <v>46410</v>
      </c>
      <c r="W399" t="str">
        <f t="shared" si="53"/>
        <v>No</v>
      </c>
      <c r="X399" t="str">
        <f t="shared" si="54"/>
        <v>None</v>
      </c>
      <c r="Y399" s="2">
        <f t="shared" si="55"/>
        <v>45955</v>
      </c>
    </row>
    <row r="400" spans="1:25" x14ac:dyDescent="0.25">
      <c r="A400" t="s">
        <v>730</v>
      </c>
      <c r="B400" t="s">
        <v>53</v>
      </c>
      <c r="C400" t="s">
        <v>21</v>
      </c>
      <c r="D400" t="s">
        <v>13</v>
      </c>
      <c r="E400" t="s">
        <v>23</v>
      </c>
      <c r="F400" s="1">
        <v>30</v>
      </c>
      <c r="G400" t="s">
        <v>409</v>
      </c>
      <c r="H400" t="s">
        <v>25</v>
      </c>
      <c r="I400" t="s">
        <v>26</v>
      </c>
      <c r="J400" t="s">
        <v>18</v>
      </c>
      <c r="K400" t="str">
        <f t="shared" si="48"/>
        <v>Public Transport Delay</v>
      </c>
      <c r="L400" t="s">
        <v>884</v>
      </c>
      <c r="M400" t="str">
        <f t="shared" si="49"/>
        <v>Bus arrival delay reported</v>
      </c>
      <c r="N400">
        <v>4</v>
      </c>
      <c r="O400" t="s">
        <v>37</v>
      </c>
      <c r="P400">
        <f t="shared" si="50"/>
        <v>15</v>
      </c>
      <c r="Q400" t="str">
        <f t="shared" si="51"/>
        <v>Delayed</v>
      </c>
      <c r="R400" t="str">
        <f t="shared" si="52"/>
        <v>Off400</v>
      </c>
      <c r="S400">
        <v>15</v>
      </c>
      <c r="T400">
        <v>40</v>
      </c>
      <c r="U400">
        <v>15910</v>
      </c>
      <c r="V400">
        <v>15738</v>
      </c>
      <c r="W400" t="str">
        <f t="shared" si="53"/>
        <v>Yes</v>
      </c>
      <c r="X400" t="str">
        <f t="shared" si="54"/>
        <v>Level 1</v>
      </c>
      <c r="Y400" s="2">
        <f t="shared" si="55"/>
        <v>45909</v>
      </c>
    </row>
    <row r="401" spans="1:25" x14ac:dyDescent="0.25">
      <c r="A401" t="s">
        <v>731</v>
      </c>
      <c r="B401" t="s">
        <v>69</v>
      </c>
      <c r="C401" t="s">
        <v>39</v>
      </c>
      <c r="D401" t="s">
        <v>22</v>
      </c>
      <c r="E401" t="s">
        <v>23</v>
      </c>
      <c r="F401" s="1">
        <v>11</v>
      </c>
      <c r="G401" t="s">
        <v>732</v>
      </c>
      <c r="H401" t="s">
        <v>25</v>
      </c>
      <c r="I401" t="s">
        <v>65</v>
      </c>
      <c r="J401" t="s">
        <v>18</v>
      </c>
      <c r="K401" t="str">
        <f t="shared" si="48"/>
        <v>General Complaint</v>
      </c>
      <c r="L401" t="s">
        <v>885</v>
      </c>
      <c r="M401" t="str">
        <f t="shared" si="49"/>
        <v>General complaint reported</v>
      </c>
      <c r="N401">
        <v>3</v>
      </c>
      <c r="O401" t="s">
        <v>37</v>
      </c>
      <c r="P401">
        <f t="shared" si="50"/>
        <v>7</v>
      </c>
      <c r="Q401" t="str">
        <f t="shared" si="51"/>
        <v>Delayed</v>
      </c>
      <c r="R401" t="str">
        <f t="shared" si="52"/>
        <v>Off401</v>
      </c>
      <c r="S401">
        <v>11</v>
      </c>
      <c r="T401">
        <v>50</v>
      </c>
      <c r="U401">
        <v>43055</v>
      </c>
      <c r="V401">
        <v>44416</v>
      </c>
      <c r="W401" t="str">
        <f t="shared" si="53"/>
        <v>Yes</v>
      </c>
      <c r="X401" t="str">
        <f t="shared" si="54"/>
        <v>Level 2</v>
      </c>
      <c r="Y401" s="2">
        <f t="shared" si="55"/>
        <v>46196</v>
      </c>
    </row>
    <row r="402" spans="1:25" x14ac:dyDescent="0.25">
      <c r="A402" t="s">
        <v>733</v>
      </c>
      <c r="B402" t="s">
        <v>53</v>
      </c>
      <c r="C402" t="s">
        <v>29</v>
      </c>
      <c r="D402" t="s">
        <v>22</v>
      </c>
      <c r="E402" t="s">
        <v>23</v>
      </c>
      <c r="F402" s="1">
        <v>24</v>
      </c>
      <c r="G402" t="s">
        <v>734</v>
      </c>
      <c r="H402" t="s">
        <v>51</v>
      </c>
      <c r="I402" t="s">
        <v>44</v>
      </c>
      <c r="J402" t="s">
        <v>18</v>
      </c>
      <c r="K402" t="str">
        <f t="shared" si="48"/>
        <v>Public Transport Delay</v>
      </c>
      <c r="L402" t="s">
        <v>881</v>
      </c>
      <c r="M402" t="str">
        <f t="shared" si="49"/>
        <v>Bus arrival delay reported</v>
      </c>
      <c r="N402">
        <v>4</v>
      </c>
      <c r="O402" t="s">
        <v>37</v>
      </c>
      <c r="P402">
        <f t="shared" si="50"/>
        <v>7</v>
      </c>
      <c r="Q402" t="str">
        <f t="shared" si="51"/>
        <v>Delayed</v>
      </c>
      <c r="R402" t="str">
        <f t="shared" si="52"/>
        <v>Off402</v>
      </c>
      <c r="S402">
        <v>11</v>
      </c>
      <c r="T402">
        <v>49</v>
      </c>
      <c r="U402">
        <v>11765</v>
      </c>
      <c r="V402">
        <v>9961</v>
      </c>
      <c r="W402" t="str">
        <f t="shared" si="53"/>
        <v>Yes</v>
      </c>
      <c r="X402" t="str">
        <f t="shared" si="54"/>
        <v>Level 2</v>
      </c>
      <c r="Y402" s="2">
        <f t="shared" si="55"/>
        <v>45939</v>
      </c>
    </row>
    <row r="403" spans="1:25" x14ac:dyDescent="0.25">
      <c r="A403" t="s">
        <v>735</v>
      </c>
      <c r="B403" t="s">
        <v>60</v>
      </c>
      <c r="C403" t="s">
        <v>56</v>
      </c>
      <c r="D403" t="s">
        <v>22</v>
      </c>
      <c r="E403" t="s">
        <v>30</v>
      </c>
      <c r="F403" s="1">
        <v>6</v>
      </c>
      <c r="G403" t="s">
        <v>736</v>
      </c>
      <c r="H403" t="s">
        <v>47</v>
      </c>
      <c r="I403" t="s">
        <v>17</v>
      </c>
      <c r="J403" t="s">
        <v>37</v>
      </c>
      <c r="K403" t="str">
        <f t="shared" si="48"/>
        <v>General Complaint</v>
      </c>
      <c r="L403" t="s">
        <v>882</v>
      </c>
      <c r="M403" t="str">
        <f t="shared" si="49"/>
        <v>General complaint reported</v>
      </c>
      <c r="N403">
        <v>2</v>
      </c>
      <c r="O403" t="s">
        <v>18</v>
      </c>
      <c r="P403">
        <f t="shared" si="50"/>
        <v>7</v>
      </c>
      <c r="Q403" t="str">
        <f t="shared" si="51"/>
        <v>Within SLA</v>
      </c>
      <c r="R403" t="str">
        <f t="shared" si="52"/>
        <v>Off403</v>
      </c>
      <c r="S403">
        <v>11</v>
      </c>
      <c r="T403">
        <v>30</v>
      </c>
      <c r="U403">
        <v>12512</v>
      </c>
      <c r="V403">
        <v>12173</v>
      </c>
      <c r="W403" t="str">
        <f t="shared" si="53"/>
        <v>No</v>
      </c>
      <c r="X403" t="str">
        <f t="shared" si="54"/>
        <v>None</v>
      </c>
      <c r="Y403" s="2">
        <f t="shared" si="55"/>
        <v>46007</v>
      </c>
    </row>
    <row r="404" spans="1:25" x14ac:dyDescent="0.25">
      <c r="A404" t="s">
        <v>737</v>
      </c>
      <c r="B404" t="s">
        <v>20</v>
      </c>
      <c r="C404" t="s">
        <v>29</v>
      </c>
      <c r="D404" t="s">
        <v>13</v>
      </c>
      <c r="E404" t="s">
        <v>14</v>
      </c>
      <c r="F404" s="1">
        <v>5</v>
      </c>
      <c r="G404" t="s">
        <v>738</v>
      </c>
      <c r="H404" t="s">
        <v>47</v>
      </c>
      <c r="I404" t="s">
        <v>44</v>
      </c>
      <c r="J404" t="s">
        <v>37</v>
      </c>
      <c r="K404" t="str">
        <f t="shared" si="48"/>
        <v>Garbage Collection</v>
      </c>
      <c r="L404" t="s">
        <v>883</v>
      </c>
      <c r="M404" t="str">
        <f t="shared" si="49"/>
        <v>Garbage not collected for 3 days</v>
      </c>
      <c r="N404">
        <v>3</v>
      </c>
      <c r="O404" t="s">
        <v>37</v>
      </c>
      <c r="P404">
        <f t="shared" si="50"/>
        <v>15</v>
      </c>
      <c r="Q404" t="str">
        <f t="shared" si="51"/>
        <v>Within SLA</v>
      </c>
      <c r="R404" t="str">
        <f t="shared" si="52"/>
        <v>Off404</v>
      </c>
      <c r="S404">
        <v>12</v>
      </c>
      <c r="T404">
        <v>18</v>
      </c>
      <c r="U404">
        <v>19262</v>
      </c>
      <c r="V404">
        <v>20111</v>
      </c>
      <c r="W404" t="str">
        <f t="shared" si="53"/>
        <v>No</v>
      </c>
      <c r="X404" t="str">
        <f t="shared" si="54"/>
        <v>None</v>
      </c>
      <c r="Y404" s="2">
        <f t="shared" si="55"/>
        <v>45930</v>
      </c>
    </row>
    <row r="405" spans="1:25" x14ac:dyDescent="0.25">
      <c r="A405" t="s">
        <v>739</v>
      </c>
      <c r="B405" t="s">
        <v>28</v>
      </c>
      <c r="C405" t="s">
        <v>56</v>
      </c>
      <c r="D405" t="s">
        <v>22</v>
      </c>
      <c r="E405" t="s">
        <v>14</v>
      </c>
      <c r="F405" s="1">
        <v>8</v>
      </c>
      <c r="G405" t="s">
        <v>234</v>
      </c>
      <c r="H405" t="s">
        <v>58</v>
      </c>
      <c r="I405" t="s">
        <v>36</v>
      </c>
      <c r="J405" t="s">
        <v>18</v>
      </c>
      <c r="K405" t="str">
        <f t="shared" si="48"/>
        <v>Road Damage</v>
      </c>
      <c r="L405" t="s">
        <v>884</v>
      </c>
      <c r="M405" t="str">
        <f t="shared" si="49"/>
        <v>Road damaged due to heavy rain</v>
      </c>
      <c r="N405">
        <v>5</v>
      </c>
      <c r="O405" t="s">
        <v>37</v>
      </c>
      <c r="P405">
        <f t="shared" si="50"/>
        <v>7</v>
      </c>
      <c r="Q405" t="str">
        <f t="shared" si="51"/>
        <v>Delayed</v>
      </c>
      <c r="R405" t="str">
        <f t="shared" si="52"/>
        <v>Off405</v>
      </c>
      <c r="S405">
        <v>12</v>
      </c>
      <c r="T405">
        <v>30</v>
      </c>
      <c r="U405">
        <v>28159</v>
      </c>
      <c r="V405">
        <v>29075</v>
      </c>
      <c r="W405" t="str">
        <f t="shared" si="53"/>
        <v>Yes</v>
      </c>
      <c r="X405" t="str">
        <f t="shared" si="54"/>
        <v>Level 2</v>
      </c>
      <c r="Y405" s="2">
        <f t="shared" si="55"/>
        <v>45791</v>
      </c>
    </row>
    <row r="406" spans="1:25" x14ac:dyDescent="0.25">
      <c r="A406" t="s">
        <v>740</v>
      </c>
      <c r="B406" t="s">
        <v>69</v>
      </c>
      <c r="C406" t="s">
        <v>29</v>
      </c>
      <c r="D406" t="s">
        <v>22</v>
      </c>
      <c r="E406" t="s">
        <v>42</v>
      </c>
      <c r="F406" s="1">
        <v>5</v>
      </c>
      <c r="G406" t="s">
        <v>50</v>
      </c>
      <c r="H406" t="s">
        <v>25</v>
      </c>
      <c r="I406" t="s">
        <v>17</v>
      </c>
      <c r="J406" t="s">
        <v>37</v>
      </c>
      <c r="K406" t="str">
        <f t="shared" si="48"/>
        <v>General Complaint</v>
      </c>
      <c r="L406" t="s">
        <v>885</v>
      </c>
      <c r="M406" t="str">
        <f t="shared" si="49"/>
        <v>General complaint reported</v>
      </c>
      <c r="N406">
        <v>4</v>
      </c>
      <c r="O406" t="s">
        <v>37</v>
      </c>
      <c r="P406">
        <f t="shared" si="50"/>
        <v>7</v>
      </c>
      <c r="Q406" t="str">
        <f t="shared" si="51"/>
        <v>Within SLA</v>
      </c>
      <c r="R406" t="str">
        <f t="shared" si="52"/>
        <v>Off406</v>
      </c>
      <c r="S406">
        <v>9</v>
      </c>
      <c r="T406">
        <v>47</v>
      </c>
      <c r="U406">
        <v>22357</v>
      </c>
      <c r="V406">
        <v>20809</v>
      </c>
      <c r="W406" t="str">
        <f t="shared" si="53"/>
        <v>No</v>
      </c>
      <c r="X406" t="str">
        <f t="shared" si="54"/>
        <v>None</v>
      </c>
      <c r="Y406" s="2">
        <f t="shared" si="55"/>
        <v>45962</v>
      </c>
    </row>
    <row r="407" spans="1:25" x14ac:dyDescent="0.25">
      <c r="A407" t="s">
        <v>741</v>
      </c>
      <c r="B407" t="s">
        <v>11</v>
      </c>
      <c r="C407" t="s">
        <v>76</v>
      </c>
      <c r="D407" t="s">
        <v>34</v>
      </c>
      <c r="E407" t="s">
        <v>23</v>
      </c>
      <c r="F407" s="1">
        <v>11</v>
      </c>
      <c r="G407" t="s">
        <v>742</v>
      </c>
      <c r="H407" t="s">
        <v>47</v>
      </c>
      <c r="I407" t="s">
        <v>36</v>
      </c>
      <c r="J407" t="s">
        <v>18</v>
      </c>
      <c r="K407" t="str">
        <f t="shared" si="48"/>
        <v>Water Leakage</v>
      </c>
      <c r="L407" t="s">
        <v>881</v>
      </c>
      <c r="M407" t="str">
        <f t="shared" si="49"/>
        <v>Water pipe leakage near school</v>
      </c>
      <c r="N407">
        <v>1</v>
      </c>
      <c r="O407" t="s">
        <v>18</v>
      </c>
      <c r="P407">
        <f t="shared" si="50"/>
        <v>3</v>
      </c>
      <c r="Q407" t="str">
        <f t="shared" si="51"/>
        <v>Delayed</v>
      </c>
      <c r="R407" t="str">
        <f t="shared" si="52"/>
        <v>Off407</v>
      </c>
      <c r="S407">
        <v>15</v>
      </c>
      <c r="T407">
        <v>40</v>
      </c>
      <c r="U407">
        <v>21656</v>
      </c>
      <c r="V407">
        <v>21979</v>
      </c>
      <c r="W407" t="str">
        <f t="shared" si="53"/>
        <v>Yes</v>
      </c>
      <c r="X407" t="str">
        <f t="shared" si="54"/>
        <v>Level 3</v>
      </c>
      <c r="Y407" s="2">
        <f t="shared" si="55"/>
        <v>45675</v>
      </c>
    </row>
    <row r="408" spans="1:25" x14ac:dyDescent="0.25">
      <c r="A408" t="s">
        <v>743</v>
      </c>
      <c r="B408" t="s">
        <v>20</v>
      </c>
      <c r="C408" t="s">
        <v>49</v>
      </c>
      <c r="D408" t="s">
        <v>34</v>
      </c>
      <c r="E408" t="s">
        <v>14</v>
      </c>
      <c r="F408" s="1">
        <v>27</v>
      </c>
      <c r="G408" t="s">
        <v>454</v>
      </c>
      <c r="H408" t="s">
        <v>25</v>
      </c>
      <c r="I408" t="s">
        <v>26</v>
      </c>
      <c r="J408" t="s">
        <v>18</v>
      </c>
      <c r="K408" t="str">
        <f t="shared" si="48"/>
        <v>Garbage Collection</v>
      </c>
      <c r="L408" t="s">
        <v>882</v>
      </c>
      <c r="M408" t="str">
        <f t="shared" si="49"/>
        <v>Garbage not collected for 3 days</v>
      </c>
      <c r="N408">
        <v>5</v>
      </c>
      <c r="O408" t="s">
        <v>37</v>
      </c>
      <c r="P408">
        <f t="shared" si="50"/>
        <v>3</v>
      </c>
      <c r="Q408" t="str">
        <f t="shared" si="51"/>
        <v>Delayed</v>
      </c>
      <c r="R408" t="str">
        <f t="shared" si="52"/>
        <v>Off408</v>
      </c>
      <c r="S408">
        <v>10</v>
      </c>
      <c r="T408">
        <v>7</v>
      </c>
      <c r="U408">
        <v>6893</v>
      </c>
      <c r="V408">
        <v>8111</v>
      </c>
      <c r="W408" t="str">
        <f t="shared" si="53"/>
        <v>Yes</v>
      </c>
      <c r="X408" t="str">
        <f t="shared" si="54"/>
        <v>Level 3</v>
      </c>
      <c r="Y408" s="2">
        <f t="shared" si="55"/>
        <v>46007</v>
      </c>
    </row>
    <row r="409" spans="1:25" x14ac:dyDescent="0.25">
      <c r="A409" t="s">
        <v>744</v>
      </c>
      <c r="B409" t="s">
        <v>60</v>
      </c>
      <c r="C409" t="s">
        <v>56</v>
      </c>
      <c r="D409" t="s">
        <v>34</v>
      </c>
      <c r="E409" t="s">
        <v>14</v>
      </c>
      <c r="F409" s="1">
        <v>20</v>
      </c>
      <c r="G409" t="s">
        <v>144</v>
      </c>
      <c r="H409" t="s">
        <v>40</v>
      </c>
      <c r="I409" t="s">
        <v>17</v>
      </c>
      <c r="J409" t="s">
        <v>18</v>
      </c>
      <c r="K409" t="str">
        <f t="shared" si="48"/>
        <v>General Complaint</v>
      </c>
      <c r="L409" t="s">
        <v>883</v>
      </c>
      <c r="M409" t="str">
        <f t="shared" si="49"/>
        <v>General complaint reported</v>
      </c>
      <c r="N409">
        <v>4</v>
      </c>
      <c r="O409" t="s">
        <v>37</v>
      </c>
      <c r="P409">
        <f t="shared" si="50"/>
        <v>3</v>
      </c>
      <c r="Q409" t="str">
        <f t="shared" si="51"/>
        <v>Delayed</v>
      </c>
      <c r="R409" t="str">
        <f t="shared" si="52"/>
        <v>Off409</v>
      </c>
      <c r="S409">
        <v>8</v>
      </c>
      <c r="T409">
        <v>34</v>
      </c>
      <c r="U409">
        <v>6790</v>
      </c>
      <c r="V409">
        <v>6274</v>
      </c>
      <c r="W409" t="str">
        <f t="shared" si="53"/>
        <v>Yes</v>
      </c>
      <c r="X409" t="str">
        <f t="shared" si="54"/>
        <v>Level 3</v>
      </c>
      <c r="Y409" s="2">
        <f t="shared" si="55"/>
        <v>46166</v>
      </c>
    </row>
    <row r="410" spans="1:25" x14ac:dyDescent="0.25">
      <c r="A410" t="s">
        <v>745</v>
      </c>
      <c r="B410" t="s">
        <v>20</v>
      </c>
      <c r="C410" t="s">
        <v>56</v>
      </c>
      <c r="D410" t="s">
        <v>34</v>
      </c>
      <c r="E410" t="s">
        <v>23</v>
      </c>
      <c r="F410" s="1">
        <v>13</v>
      </c>
      <c r="G410" t="s">
        <v>746</v>
      </c>
      <c r="H410" t="s">
        <v>47</v>
      </c>
      <c r="I410" t="s">
        <v>17</v>
      </c>
      <c r="J410" t="s">
        <v>18</v>
      </c>
      <c r="K410" t="str">
        <f t="shared" si="48"/>
        <v>Garbage Collection</v>
      </c>
      <c r="L410" t="s">
        <v>884</v>
      </c>
      <c r="M410" t="str">
        <f t="shared" si="49"/>
        <v>Garbage not collected for 3 days</v>
      </c>
      <c r="N410">
        <v>4</v>
      </c>
      <c r="O410" t="s">
        <v>37</v>
      </c>
      <c r="P410">
        <f t="shared" si="50"/>
        <v>3</v>
      </c>
      <c r="Q410" t="str">
        <f t="shared" si="51"/>
        <v>Delayed</v>
      </c>
      <c r="R410" t="str">
        <f t="shared" si="52"/>
        <v>Off410</v>
      </c>
      <c r="S410">
        <v>1</v>
      </c>
      <c r="T410">
        <v>35</v>
      </c>
      <c r="U410">
        <v>23553</v>
      </c>
      <c r="V410">
        <v>25302</v>
      </c>
      <c r="W410" t="str">
        <f t="shared" si="53"/>
        <v>Yes</v>
      </c>
      <c r="X410" t="str">
        <f t="shared" si="54"/>
        <v>Level 3</v>
      </c>
      <c r="Y410" s="2">
        <f t="shared" si="55"/>
        <v>46120</v>
      </c>
    </row>
    <row r="411" spans="1:25" x14ac:dyDescent="0.25">
      <c r="A411" t="s">
        <v>747</v>
      </c>
      <c r="B411" t="s">
        <v>60</v>
      </c>
      <c r="C411" t="s">
        <v>84</v>
      </c>
      <c r="D411" t="s">
        <v>34</v>
      </c>
      <c r="E411" t="s">
        <v>30</v>
      </c>
      <c r="F411" s="1">
        <v>43</v>
      </c>
      <c r="G411" t="s">
        <v>748</v>
      </c>
      <c r="H411" t="s">
        <v>58</v>
      </c>
      <c r="I411" t="s">
        <v>44</v>
      </c>
      <c r="J411" t="s">
        <v>18</v>
      </c>
      <c r="K411" t="str">
        <f t="shared" si="48"/>
        <v>General Complaint</v>
      </c>
      <c r="L411" t="s">
        <v>885</v>
      </c>
      <c r="M411" t="str">
        <f t="shared" si="49"/>
        <v>General complaint reported</v>
      </c>
      <c r="N411">
        <v>2</v>
      </c>
      <c r="O411" t="s">
        <v>18</v>
      </c>
      <c r="P411">
        <f t="shared" si="50"/>
        <v>3</v>
      </c>
      <c r="Q411" t="str">
        <f t="shared" si="51"/>
        <v>Delayed</v>
      </c>
      <c r="R411" t="str">
        <f t="shared" si="52"/>
        <v>Off411</v>
      </c>
      <c r="S411">
        <v>6</v>
      </c>
      <c r="T411">
        <v>22</v>
      </c>
      <c r="U411">
        <v>23097</v>
      </c>
      <c r="V411">
        <v>21271</v>
      </c>
      <c r="W411" t="str">
        <f t="shared" si="53"/>
        <v>Yes</v>
      </c>
      <c r="X411" t="str">
        <f t="shared" si="54"/>
        <v>Level 3</v>
      </c>
      <c r="Y411" s="2">
        <f t="shared" si="55"/>
        <v>45852</v>
      </c>
    </row>
    <row r="412" spans="1:25" x14ac:dyDescent="0.25">
      <c r="A412" t="s">
        <v>749</v>
      </c>
      <c r="B412" t="s">
        <v>53</v>
      </c>
      <c r="C412" t="s">
        <v>21</v>
      </c>
      <c r="D412" t="s">
        <v>34</v>
      </c>
      <c r="E412" t="s">
        <v>23</v>
      </c>
      <c r="F412" s="1">
        <v>16</v>
      </c>
      <c r="G412" t="s">
        <v>750</v>
      </c>
      <c r="H412" t="s">
        <v>25</v>
      </c>
      <c r="I412" t="s">
        <v>26</v>
      </c>
      <c r="J412" t="s">
        <v>18</v>
      </c>
      <c r="K412" t="str">
        <f t="shared" si="48"/>
        <v>Public Transport Delay</v>
      </c>
      <c r="L412" t="s">
        <v>881</v>
      </c>
      <c r="M412" t="str">
        <f t="shared" si="49"/>
        <v>Bus arrival delay reported</v>
      </c>
      <c r="N412">
        <v>1</v>
      </c>
      <c r="O412" t="s">
        <v>18</v>
      </c>
      <c r="P412">
        <f t="shared" si="50"/>
        <v>3</v>
      </c>
      <c r="Q412" t="str">
        <f t="shared" si="51"/>
        <v>Delayed</v>
      </c>
      <c r="R412" t="str">
        <f t="shared" si="52"/>
        <v>Off412</v>
      </c>
      <c r="S412">
        <v>4</v>
      </c>
      <c r="T412">
        <v>48</v>
      </c>
      <c r="U412">
        <v>11491</v>
      </c>
      <c r="V412">
        <v>13268</v>
      </c>
      <c r="W412" t="str">
        <f t="shared" si="53"/>
        <v>Yes</v>
      </c>
      <c r="X412" t="str">
        <f t="shared" si="54"/>
        <v>Level 3</v>
      </c>
      <c r="Y412" s="2">
        <f t="shared" si="55"/>
        <v>46074</v>
      </c>
    </row>
    <row r="413" spans="1:25" x14ac:dyDescent="0.25">
      <c r="A413" t="s">
        <v>751</v>
      </c>
      <c r="B413" t="s">
        <v>53</v>
      </c>
      <c r="C413" t="s">
        <v>56</v>
      </c>
      <c r="D413" t="s">
        <v>13</v>
      </c>
      <c r="E413" t="s">
        <v>14</v>
      </c>
      <c r="F413" s="1">
        <v>42</v>
      </c>
      <c r="G413" t="s">
        <v>752</v>
      </c>
      <c r="H413" t="s">
        <v>51</v>
      </c>
      <c r="I413" t="s">
        <v>44</v>
      </c>
      <c r="J413" t="s">
        <v>18</v>
      </c>
      <c r="K413" t="str">
        <f t="shared" si="48"/>
        <v>Public Transport Delay</v>
      </c>
      <c r="L413" t="s">
        <v>882</v>
      </c>
      <c r="M413" t="str">
        <f t="shared" si="49"/>
        <v>Bus arrival delay reported</v>
      </c>
      <c r="N413">
        <v>4</v>
      </c>
      <c r="O413" t="s">
        <v>37</v>
      </c>
      <c r="P413">
        <f t="shared" si="50"/>
        <v>15</v>
      </c>
      <c r="Q413" t="str">
        <f t="shared" si="51"/>
        <v>Delayed</v>
      </c>
      <c r="R413" t="str">
        <f t="shared" si="52"/>
        <v>Off413</v>
      </c>
      <c r="S413">
        <v>7</v>
      </c>
      <c r="T413">
        <v>46</v>
      </c>
      <c r="U413">
        <v>35834</v>
      </c>
      <c r="V413">
        <v>34767</v>
      </c>
      <c r="W413" t="str">
        <f t="shared" si="53"/>
        <v>Yes</v>
      </c>
      <c r="X413" t="str">
        <f t="shared" si="54"/>
        <v>Level 1</v>
      </c>
      <c r="Y413" s="2">
        <f t="shared" si="55"/>
        <v>46154</v>
      </c>
    </row>
    <row r="414" spans="1:25" x14ac:dyDescent="0.25">
      <c r="A414" t="s">
        <v>753</v>
      </c>
      <c r="B414" t="s">
        <v>69</v>
      </c>
      <c r="C414" t="s">
        <v>12</v>
      </c>
      <c r="D414" t="s">
        <v>34</v>
      </c>
      <c r="E414" t="s">
        <v>23</v>
      </c>
      <c r="F414" s="1">
        <v>26</v>
      </c>
      <c r="G414" t="s">
        <v>754</v>
      </c>
      <c r="H414" t="s">
        <v>25</v>
      </c>
      <c r="I414" t="s">
        <v>26</v>
      </c>
      <c r="J414" t="s">
        <v>18</v>
      </c>
      <c r="K414" t="str">
        <f t="shared" si="48"/>
        <v>General Complaint</v>
      </c>
      <c r="L414" t="s">
        <v>883</v>
      </c>
      <c r="M414" t="str">
        <f t="shared" si="49"/>
        <v>General complaint reported</v>
      </c>
      <c r="N414">
        <v>1</v>
      </c>
      <c r="O414" t="s">
        <v>18</v>
      </c>
      <c r="P414">
        <f t="shared" si="50"/>
        <v>3</v>
      </c>
      <c r="Q414" t="str">
        <f t="shared" si="51"/>
        <v>Delayed</v>
      </c>
      <c r="R414" t="str">
        <f t="shared" si="52"/>
        <v>Off414</v>
      </c>
      <c r="S414">
        <v>4</v>
      </c>
      <c r="T414">
        <v>30</v>
      </c>
      <c r="U414">
        <v>4396</v>
      </c>
      <c r="V414">
        <v>4334</v>
      </c>
      <c r="W414" t="str">
        <f t="shared" si="53"/>
        <v>Yes</v>
      </c>
      <c r="X414" t="str">
        <f t="shared" si="54"/>
        <v>Level 3</v>
      </c>
      <c r="Y414" s="2">
        <f t="shared" si="55"/>
        <v>46091</v>
      </c>
    </row>
    <row r="415" spans="1:25" x14ac:dyDescent="0.25">
      <c r="A415" t="s">
        <v>755</v>
      </c>
      <c r="B415" t="s">
        <v>60</v>
      </c>
      <c r="C415" t="s">
        <v>61</v>
      </c>
      <c r="D415" t="s">
        <v>34</v>
      </c>
      <c r="E415" t="s">
        <v>30</v>
      </c>
      <c r="F415" s="1">
        <v>21</v>
      </c>
      <c r="G415" t="s">
        <v>461</v>
      </c>
      <c r="H415" t="s">
        <v>51</v>
      </c>
      <c r="I415" t="s">
        <v>17</v>
      </c>
      <c r="J415" t="s">
        <v>18</v>
      </c>
      <c r="K415" t="str">
        <f t="shared" si="48"/>
        <v>General Complaint</v>
      </c>
      <c r="L415" t="s">
        <v>884</v>
      </c>
      <c r="M415" t="str">
        <f t="shared" si="49"/>
        <v>General complaint reported</v>
      </c>
      <c r="N415">
        <v>4</v>
      </c>
      <c r="O415" t="s">
        <v>37</v>
      </c>
      <c r="P415">
        <f t="shared" si="50"/>
        <v>3</v>
      </c>
      <c r="Q415" t="str">
        <f t="shared" si="51"/>
        <v>Delayed</v>
      </c>
      <c r="R415" t="str">
        <f t="shared" si="52"/>
        <v>Off415</v>
      </c>
      <c r="S415">
        <v>12</v>
      </c>
      <c r="T415">
        <v>34</v>
      </c>
      <c r="U415">
        <v>38743</v>
      </c>
      <c r="V415">
        <v>37623</v>
      </c>
      <c r="W415" t="str">
        <f t="shared" si="53"/>
        <v>Yes</v>
      </c>
      <c r="X415" t="str">
        <f t="shared" si="54"/>
        <v>Level 3</v>
      </c>
      <c r="Y415" s="2">
        <f t="shared" si="55"/>
        <v>45715</v>
      </c>
    </row>
    <row r="416" spans="1:25" x14ac:dyDescent="0.25">
      <c r="A416" t="s">
        <v>756</v>
      </c>
      <c r="B416" t="s">
        <v>20</v>
      </c>
      <c r="C416" t="s">
        <v>84</v>
      </c>
      <c r="D416" t="s">
        <v>34</v>
      </c>
      <c r="E416" t="s">
        <v>42</v>
      </c>
      <c r="F416" s="1">
        <v>22</v>
      </c>
      <c r="G416" t="s">
        <v>693</v>
      </c>
      <c r="H416" t="s">
        <v>47</v>
      </c>
      <c r="I416" t="s">
        <v>26</v>
      </c>
      <c r="J416" t="s">
        <v>18</v>
      </c>
      <c r="K416" t="str">
        <f t="shared" si="48"/>
        <v>Garbage Collection</v>
      </c>
      <c r="L416" t="s">
        <v>885</v>
      </c>
      <c r="M416" t="str">
        <f t="shared" si="49"/>
        <v>Garbage not collected for 3 days</v>
      </c>
      <c r="N416">
        <v>4</v>
      </c>
      <c r="O416" t="s">
        <v>37</v>
      </c>
      <c r="P416">
        <f t="shared" si="50"/>
        <v>3</v>
      </c>
      <c r="Q416" t="str">
        <f t="shared" si="51"/>
        <v>Delayed</v>
      </c>
      <c r="R416" t="str">
        <f t="shared" si="52"/>
        <v>Off416</v>
      </c>
      <c r="S416">
        <v>14</v>
      </c>
      <c r="T416">
        <v>14</v>
      </c>
      <c r="U416">
        <v>5729</v>
      </c>
      <c r="V416">
        <v>5453</v>
      </c>
      <c r="W416" t="str">
        <f t="shared" si="53"/>
        <v>Yes</v>
      </c>
      <c r="X416" t="str">
        <f t="shared" si="54"/>
        <v>Level 3</v>
      </c>
      <c r="Y416" s="2">
        <f t="shared" si="55"/>
        <v>46046</v>
      </c>
    </row>
    <row r="417" spans="1:25" x14ac:dyDescent="0.25">
      <c r="A417" t="s">
        <v>757</v>
      </c>
      <c r="B417" t="s">
        <v>11</v>
      </c>
      <c r="C417" t="s">
        <v>39</v>
      </c>
      <c r="D417" t="s">
        <v>13</v>
      </c>
      <c r="E417" t="s">
        <v>14</v>
      </c>
      <c r="F417" s="1">
        <v>28</v>
      </c>
      <c r="G417" t="s">
        <v>288</v>
      </c>
      <c r="H417" t="s">
        <v>47</v>
      </c>
      <c r="I417" t="s">
        <v>65</v>
      </c>
      <c r="J417" t="s">
        <v>18</v>
      </c>
      <c r="K417" t="str">
        <f t="shared" si="48"/>
        <v>Water Leakage</v>
      </c>
      <c r="L417" t="s">
        <v>881</v>
      </c>
      <c r="M417" t="str">
        <f t="shared" si="49"/>
        <v>Water pipe leakage near school</v>
      </c>
      <c r="N417">
        <v>4</v>
      </c>
      <c r="O417" t="s">
        <v>37</v>
      </c>
      <c r="P417">
        <f t="shared" si="50"/>
        <v>15</v>
      </c>
      <c r="Q417" t="str">
        <f t="shared" si="51"/>
        <v>Delayed</v>
      </c>
      <c r="R417" t="str">
        <f t="shared" si="52"/>
        <v>Off417</v>
      </c>
      <c r="S417">
        <v>13</v>
      </c>
      <c r="T417">
        <v>41</v>
      </c>
      <c r="U417">
        <v>5319</v>
      </c>
      <c r="V417">
        <v>6434</v>
      </c>
      <c r="W417" t="str">
        <f t="shared" si="53"/>
        <v>Yes</v>
      </c>
      <c r="X417" t="str">
        <f t="shared" si="54"/>
        <v>Level 1</v>
      </c>
      <c r="Y417" s="2">
        <f t="shared" si="55"/>
        <v>46197</v>
      </c>
    </row>
    <row r="418" spans="1:25" x14ac:dyDescent="0.25">
      <c r="A418" t="s">
        <v>758</v>
      </c>
      <c r="B418" t="s">
        <v>53</v>
      </c>
      <c r="C418" t="s">
        <v>29</v>
      </c>
      <c r="D418" t="s">
        <v>34</v>
      </c>
      <c r="E418" t="s">
        <v>14</v>
      </c>
      <c r="F418" s="1">
        <v>36</v>
      </c>
      <c r="G418" t="s">
        <v>759</v>
      </c>
      <c r="H418" t="s">
        <v>58</v>
      </c>
      <c r="I418" t="s">
        <v>65</v>
      </c>
      <c r="J418" t="s">
        <v>18</v>
      </c>
      <c r="K418" t="str">
        <f t="shared" si="48"/>
        <v>Public Transport Delay</v>
      </c>
      <c r="L418" t="s">
        <v>882</v>
      </c>
      <c r="M418" t="str">
        <f t="shared" si="49"/>
        <v>Bus arrival delay reported</v>
      </c>
      <c r="N418">
        <v>2</v>
      </c>
      <c r="O418" t="s">
        <v>18</v>
      </c>
      <c r="P418">
        <f t="shared" si="50"/>
        <v>3</v>
      </c>
      <c r="Q418" t="str">
        <f t="shared" si="51"/>
        <v>Delayed</v>
      </c>
      <c r="R418" t="str">
        <f t="shared" si="52"/>
        <v>Off418</v>
      </c>
      <c r="S418">
        <v>7</v>
      </c>
      <c r="T418">
        <v>39</v>
      </c>
      <c r="U418">
        <v>44319</v>
      </c>
      <c r="V418">
        <v>45529</v>
      </c>
      <c r="W418" t="str">
        <f t="shared" si="53"/>
        <v>Yes</v>
      </c>
      <c r="X418" t="str">
        <f t="shared" si="54"/>
        <v>Level 3</v>
      </c>
      <c r="Y418" s="2">
        <f t="shared" si="55"/>
        <v>45807</v>
      </c>
    </row>
    <row r="419" spans="1:25" x14ac:dyDescent="0.25">
      <c r="A419" t="s">
        <v>760</v>
      </c>
      <c r="B419" t="s">
        <v>28</v>
      </c>
      <c r="C419" t="s">
        <v>39</v>
      </c>
      <c r="D419" t="s">
        <v>13</v>
      </c>
      <c r="E419" t="s">
        <v>14</v>
      </c>
      <c r="F419" s="1">
        <v>29</v>
      </c>
      <c r="G419" t="s">
        <v>693</v>
      </c>
      <c r="H419" t="s">
        <v>58</v>
      </c>
      <c r="I419" t="s">
        <v>17</v>
      </c>
      <c r="J419" t="s">
        <v>18</v>
      </c>
      <c r="K419" t="str">
        <f t="shared" si="48"/>
        <v>Road Damage</v>
      </c>
      <c r="L419" t="s">
        <v>883</v>
      </c>
      <c r="M419" t="str">
        <f t="shared" si="49"/>
        <v>Road damaged due to heavy rain</v>
      </c>
      <c r="N419">
        <v>4</v>
      </c>
      <c r="O419" t="s">
        <v>37</v>
      </c>
      <c r="P419">
        <f t="shared" si="50"/>
        <v>15</v>
      </c>
      <c r="Q419" t="str">
        <f t="shared" si="51"/>
        <v>Delayed</v>
      </c>
      <c r="R419" t="str">
        <f t="shared" si="52"/>
        <v>Off419</v>
      </c>
      <c r="S419">
        <v>8</v>
      </c>
      <c r="T419">
        <v>15</v>
      </c>
      <c r="U419">
        <v>49848</v>
      </c>
      <c r="V419">
        <v>51778</v>
      </c>
      <c r="W419" t="str">
        <f t="shared" si="53"/>
        <v>Yes</v>
      </c>
      <c r="X419" t="str">
        <f t="shared" si="54"/>
        <v>Level 1</v>
      </c>
      <c r="Y419" s="2">
        <f t="shared" si="55"/>
        <v>46053</v>
      </c>
    </row>
    <row r="420" spans="1:25" x14ac:dyDescent="0.25">
      <c r="A420" t="s">
        <v>761</v>
      </c>
      <c r="B420" t="s">
        <v>60</v>
      </c>
      <c r="C420" t="s">
        <v>39</v>
      </c>
      <c r="D420" t="s">
        <v>13</v>
      </c>
      <c r="E420" t="s">
        <v>23</v>
      </c>
      <c r="F420" s="1">
        <v>17</v>
      </c>
      <c r="G420" t="s">
        <v>593</v>
      </c>
      <c r="H420" t="s">
        <v>51</v>
      </c>
      <c r="I420" t="s">
        <v>44</v>
      </c>
      <c r="J420" t="s">
        <v>18</v>
      </c>
      <c r="K420" t="str">
        <f t="shared" si="48"/>
        <v>General Complaint</v>
      </c>
      <c r="L420" t="s">
        <v>884</v>
      </c>
      <c r="M420" t="str">
        <f t="shared" si="49"/>
        <v>General complaint reported</v>
      </c>
      <c r="N420">
        <v>5</v>
      </c>
      <c r="O420" t="s">
        <v>37</v>
      </c>
      <c r="P420">
        <f t="shared" si="50"/>
        <v>15</v>
      </c>
      <c r="Q420" t="str">
        <f t="shared" si="51"/>
        <v>Delayed</v>
      </c>
      <c r="R420" t="str">
        <f t="shared" si="52"/>
        <v>Off420</v>
      </c>
      <c r="S420">
        <v>4</v>
      </c>
      <c r="T420">
        <v>38</v>
      </c>
      <c r="U420">
        <v>3844</v>
      </c>
      <c r="V420">
        <v>4891</v>
      </c>
      <c r="W420" t="str">
        <f t="shared" si="53"/>
        <v>Yes</v>
      </c>
      <c r="X420" t="str">
        <f t="shared" si="54"/>
        <v>Level 1</v>
      </c>
      <c r="Y420" s="2">
        <f t="shared" si="55"/>
        <v>45887</v>
      </c>
    </row>
    <row r="421" spans="1:25" x14ac:dyDescent="0.25">
      <c r="A421" t="s">
        <v>762</v>
      </c>
      <c r="B421" t="s">
        <v>69</v>
      </c>
      <c r="C421" t="s">
        <v>56</v>
      </c>
      <c r="D421" t="s">
        <v>34</v>
      </c>
      <c r="E421" t="s">
        <v>14</v>
      </c>
      <c r="F421" s="1">
        <v>30</v>
      </c>
      <c r="G421" t="s">
        <v>763</v>
      </c>
      <c r="H421" t="s">
        <v>58</v>
      </c>
      <c r="I421" t="s">
        <v>44</v>
      </c>
      <c r="J421" t="s">
        <v>18</v>
      </c>
      <c r="K421" t="str">
        <f t="shared" si="48"/>
        <v>General Complaint</v>
      </c>
      <c r="L421" t="s">
        <v>885</v>
      </c>
      <c r="M421" t="str">
        <f t="shared" si="49"/>
        <v>General complaint reported</v>
      </c>
      <c r="N421">
        <v>3</v>
      </c>
      <c r="O421" t="s">
        <v>37</v>
      </c>
      <c r="P421">
        <f t="shared" si="50"/>
        <v>3</v>
      </c>
      <c r="Q421" t="str">
        <f t="shared" si="51"/>
        <v>Delayed</v>
      </c>
      <c r="R421" t="str">
        <f t="shared" si="52"/>
        <v>Off421</v>
      </c>
      <c r="S421">
        <v>12</v>
      </c>
      <c r="T421">
        <v>33</v>
      </c>
      <c r="U421">
        <v>33143</v>
      </c>
      <c r="V421">
        <v>31525</v>
      </c>
      <c r="W421" t="str">
        <f t="shared" si="53"/>
        <v>Yes</v>
      </c>
      <c r="X421" t="str">
        <f t="shared" si="54"/>
        <v>Level 3</v>
      </c>
      <c r="Y421" s="2">
        <f t="shared" si="55"/>
        <v>45862</v>
      </c>
    </row>
    <row r="422" spans="1:25" x14ac:dyDescent="0.25">
      <c r="A422" t="s">
        <v>764</v>
      </c>
      <c r="B422" t="s">
        <v>20</v>
      </c>
      <c r="C422" t="s">
        <v>33</v>
      </c>
      <c r="D422" t="s">
        <v>34</v>
      </c>
      <c r="E422" t="s">
        <v>14</v>
      </c>
      <c r="F422" s="1">
        <v>31</v>
      </c>
      <c r="G422" t="s">
        <v>544</v>
      </c>
      <c r="H422" t="s">
        <v>47</v>
      </c>
      <c r="I422" t="s">
        <v>65</v>
      </c>
      <c r="J422" t="s">
        <v>18</v>
      </c>
      <c r="K422" t="str">
        <f t="shared" si="48"/>
        <v>Garbage Collection</v>
      </c>
      <c r="L422" t="s">
        <v>881</v>
      </c>
      <c r="M422" t="str">
        <f t="shared" si="49"/>
        <v>Garbage not collected for 3 days</v>
      </c>
      <c r="N422">
        <v>5</v>
      </c>
      <c r="O422" t="s">
        <v>37</v>
      </c>
      <c r="P422">
        <f t="shared" si="50"/>
        <v>3</v>
      </c>
      <c r="Q422" t="str">
        <f t="shared" si="51"/>
        <v>Delayed</v>
      </c>
      <c r="R422" t="str">
        <f t="shared" si="52"/>
        <v>Off422</v>
      </c>
      <c r="S422">
        <v>13</v>
      </c>
      <c r="T422">
        <v>19</v>
      </c>
      <c r="U422">
        <v>29227</v>
      </c>
      <c r="V422">
        <v>27479</v>
      </c>
      <c r="W422" t="str">
        <f t="shared" si="53"/>
        <v>Yes</v>
      </c>
      <c r="X422" t="str">
        <f t="shared" si="54"/>
        <v>Level 3</v>
      </c>
      <c r="Y422" s="2">
        <f t="shared" si="55"/>
        <v>45940</v>
      </c>
    </row>
    <row r="423" spans="1:25" x14ac:dyDescent="0.25">
      <c r="A423" t="s">
        <v>765</v>
      </c>
      <c r="B423" t="s">
        <v>60</v>
      </c>
      <c r="C423" t="s">
        <v>84</v>
      </c>
      <c r="D423" t="s">
        <v>34</v>
      </c>
      <c r="E423" t="s">
        <v>42</v>
      </c>
      <c r="F423" s="1">
        <v>20</v>
      </c>
      <c r="G423" t="s">
        <v>766</v>
      </c>
      <c r="H423" t="s">
        <v>16</v>
      </c>
      <c r="I423" t="s">
        <v>36</v>
      </c>
      <c r="J423" t="s">
        <v>18</v>
      </c>
      <c r="K423" t="str">
        <f t="shared" si="48"/>
        <v>General Complaint</v>
      </c>
      <c r="L423" t="s">
        <v>882</v>
      </c>
      <c r="M423" t="str">
        <f t="shared" si="49"/>
        <v>General complaint reported</v>
      </c>
      <c r="N423">
        <v>4</v>
      </c>
      <c r="O423" t="s">
        <v>37</v>
      </c>
      <c r="P423">
        <f t="shared" si="50"/>
        <v>3</v>
      </c>
      <c r="Q423" t="str">
        <f t="shared" si="51"/>
        <v>Delayed</v>
      </c>
      <c r="R423" t="str">
        <f t="shared" si="52"/>
        <v>Off423</v>
      </c>
      <c r="S423">
        <v>14</v>
      </c>
      <c r="T423">
        <v>31</v>
      </c>
      <c r="U423">
        <v>42608</v>
      </c>
      <c r="V423">
        <v>41541</v>
      </c>
      <c r="W423" t="str">
        <f t="shared" si="53"/>
        <v>Yes</v>
      </c>
      <c r="X423" t="str">
        <f t="shared" si="54"/>
        <v>Level 3</v>
      </c>
      <c r="Y423" s="2">
        <f t="shared" si="55"/>
        <v>46117</v>
      </c>
    </row>
    <row r="424" spans="1:25" x14ac:dyDescent="0.25">
      <c r="A424" t="s">
        <v>767</v>
      </c>
      <c r="B424" t="s">
        <v>69</v>
      </c>
      <c r="C424" t="s">
        <v>21</v>
      </c>
      <c r="D424" t="s">
        <v>34</v>
      </c>
      <c r="E424" t="s">
        <v>30</v>
      </c>
      <c r="F424" s="1">
        <v>12</v>
      </c>
      <c r="G424" t="s">
        <v>520</v>
      </c>
      <c r="H424" t="s">
        <v>25</v>
      </c>
      <c r="I424" t="s">
        <v>44</v>
      </c>
      <c r="J424" t="s">
        <v>18</v>
      </c>
      <c r="K424" t="str">
        <f t="shared" si="48"/>
        <v>General Complaint</v>
      </c>
      <c r="L424" t="s">
        <v>883</v>
      </c>
      <c r="M424" t="str">
        <f t="shared" si="49"/>
        <v>General complaint reported</v>
      </c>
      <c r="N424">
        <v>5</v>
      </c>
      <c r="O424" t="s">
        <v>37</v>
      </c>
      <c r="P424">
        <f t="shared" si="50"/>
        <v>3</v>
      </c>
      <c r="Q424" t="str">
        <f t="shared" si="51"/>
        <v>Delayed</v>
      </c>
      <c r="R424" t="str">
        <f t="shared" si="52"/>
        <v>Off424</v>
      </c>
      <c r="S424">
        <v>11</v>
      </c>
      <c r="T424">
        <v>28</v>
      </c>
      <c r="U424">
        <v>41420</v>
      </c>
      <c r="V424">
        <v>41532</v>
      </c>
      <c r="W424" t="str">
        <f t="shared" si="53"/>
        <v>Yes</v>
      </c>
      <c r="X424" t="str">
        <f t="shared" si="54"/>
        <v>Level 3</v>
      </c>
      <c r="Y424" s="2">
        <f t="shared" si="55"/>
        <v>45941</v>
      </c>
    </row>
    <row r="425" spans="1:25" x14ac:dyDescent="0.25">
      <c r="A425" t="s">
        <v>768</v>
      </c>
      <c r="B425" t="s">
        <v>11</v>
      </c>
      <c r="C425" t="s">
        <v>49</v>
      </c>
      <c r="D425" t="s">
        <v>13</v>
      </c>
      <c r="E425" t="s">
        <v>30</v>
      </c>
      <c r="F425" s="1">
        <v>20</v>
      </c>
      <c r="G425" t="s">
        <v>597</v>
      </c>
      <c r="H425" t="s">
        <v>51</v>
      </c>
      <c r="I425" t="s">
        <v>44</v>
      </c>
      <c r="J425" t="s">
        <v>18</v>
      </c>
      <c r="K425" t="str">
        <f t="shared" si="48"/>
        <v>Water Leakage</v>
      </c>
      <c r="L425" t="s">
        <v>884</v>
      </c>
      <c r="M425" t="str">
        <f t="shared" si="49"/>
        <v>Water pipe leakage near school</v>
      </c>
      <c r="N425">
        <v>5</v>
      </c>
      <c r="O425" t="s">
        <v>37</v>
      </c>
      <c r="P425">
        <f t="shared" si="50"/>
        <v>15</v>
      </c>
      <c r="Q425" t="str">
        <f t="shared" si="51"/>
        <v>Delayed</v>
      </c>
      <c r="R425" t="str">
        <f t="shared" si="52"/>
        <v>Off425</v>
      </c>
      <c r="S425">
        <v>13</v>
      </c>
      <c r="T425">
        <v>44</v>
      </c>
      <c r="U425">
        <v>6222</v>
      </c>
      <c r="V425">
        <v>7350</v>
      </c>
      <c r="W425" t="str">
        <f t="shared" si="53"/>
        <v>Yes</v>
      </c>
      <c r="X425" t="str">
        <f t="shared" si="54"/>
        <v>Level 1</v>
      </c>
      <c r="Y425" s="2">
        <f t="shared" si="55"/>
        <v>46111</v>
      </c>
    </row>
    <row r="426" spans="1:25" x14ac:dyDescent="0.25">
      <c r="A426" t="s">
        <v>769</v>
      </c>
      <c r="B426" t="s">
        <v>20</v>
      </c>
      <c r="C426" t="s">
        <v>21</v>
      </c>
      <c r="D426" t="s">
        <v>13</v>
      </c>
      <c r="E426" t="s">
        <v>14</v>
      </c>
      <c r="F426" s="1">
        <v>24</v>
      </c>
      <c r="G426" t="s">
        <v>610</v>
      </c>
      <c r="H426" t="s">
        <v>40</v>
      </c>
      <c r="I426" t="s">
        <v>36</v>
      </c>
      <c r="J426" t="s">
        <v>18</v>
      </c>
      <c r="K426" t="str">
        <f t="shared" si="48"/>
        <v>Garbage Collection</v>
      </c>
      <c r="L426" t="s">
        <v>885</v>
      </c>
      <c r="M426" t="str">
        <f t="shared" si="49"/>
        <v>Garbage not collected for 3 days</v>
      </c>
      <c r="N426">
        <v>1</v>
      </c>
      <c r="O426" t="s">
        <v>18</v>
      </c>
      <c r="P426">
        <f t="shared" si="50"/>
        <v>15</v>
      </c>
      <c r="Q426" t="str">
        <f t="shared" si="51"/>
        <v>Delayed</v>
      </c>
      <c r="R426" t="str">
        <f t="shared" si="52"/>
        <v>Off426</v>
      </c>
      <c r="S426">
        <v>6</v>
      </c>
      <c r="T426">
        <v>11</v>
      </c>
      <c r="U426">
        <v>1478</v>
      </c>
      <c r="V426">
        <v>2884</v>
      </c>
      <c r="W426" t="str">
        <f t="shared" si="53"/>
        <v>Yes</v>
      </c>
      <c r="X426" t="str">
        <f t="shared" si="54"/>
        <v>Level 1</v>
      </c>
      <c r="Y426" s="2">
        <f t="shared" si="55"/>
        <v>45987</v>
      </c>
    </row>
    <row r="427" spans="1:25" x14ac:dyDescent="0.25">
      <c r="A427" t="s">
        <v>770</v>
      </c>
      <c r="B427" t="s">
        <v>28</v>
      </c>
      <c r="C427" t="s">
        <v>33</v>
      </c>
      <c r="D427" t="s">
        <v>34</v>
      </c>
      <c r="E427" t="s">
        <v>23</v>
      </c>
      <c r="F427" s="1">
        <v>30</v>
      </c>
      <c r="G427" t="s">
        <v>288</v>
      </c>
      <c r="H427" t="s">
        <v>40</v>
      </c>
      <c r="I427" t="s">
        <v>44</v>
      </c>
      <c r="J427" t="s">
        <v>18</v>
      </c>
      <c r="K427" t="str">
        <f t="shared" si="48"/>
        <v>Road Damage</v>
      </c>
      <c r="L427" t="s">
        <v>881</v>
      </c>
      <c r="M427" t="str">
        <f t="shared" si="49"/>
        <v>Road damaged due to heavy rain</v>
      </c>
      <c r="N427">
        <v>1</v>
      </c>
      <c r="O427" t="s">
        <v>18</v>
      </c>
      <c r="P427">
        <f t="shared" si="50"/>
        <v>3</v>
      </c>
      <c r="Q427" t="str">
        <f t="shared" si="51"/>
        <v>Delayed</v>
      </c>
      <c r="R427" t="str">
        <f t="shared" si="52"/>
        <v>Off427</v>
      </c>
      <c r="S427">
        <v>8</v>
      </c>
      <c r="T427">
        <v>38</v>
      </c>
      <c r="U427">
        <v>26922</v>
      </c>
      <c r="V427">
        <v>28187</v>
      </c>
      <c r="W427" t="str">
        <f t="shared" si="53"/>
        <v>Yes</v>
      </c>
      <c r="X427" t="str">
        <f t="shared" si="54"/>
        <v>Level 3</v>
      </c>
      <c r="Y427" s="2">
        <f t="shared" si="55"/>
        <v>46199</v>
      </c>
    </row>
    <row r="428" spans="1:25" x14ac:dyDescent="0.25">
      <c r="A428" t="s">
        <v>771</v>
      </c>
      <c r="B428" t="s">
        <v>28</v>
      </c>
      <c r="C428" t="s">
        <v>33</v>
      </c>
      <c r="D428" t="s">
        <v>13</v>
      </c>
      <c r="E428" t="s">
        <v>30</v>
      </c>
      <c r="F428" s="1">
        <v>0</v>
      </c>
      <c r="G428" t="s">
        <v>772</v>
      </c>
      <c r="H428" t="s">
        <v>47</v>
      </c>
      <c r="I428" t="s">
        <v>36</v>
      </c>
      <c r="J428" t="s">
        <v>37</v>
      </c>
      <c r="K428" t="str">
        <f t="shared" si="48"/>
        <v>Road Damage</v>
      </c>
      <c r="L428" t="s">
        <v>882</v>
      </c>
      <c r="M428" t="str">
        <f t="shared" si="49"/>
        <v>Road damaged due to heavy rain</v>
      </c>
      <c r="N428">
        <v>5</v>
      </c>
      <c r="O428" t="s">
        <v>37</v>
      </c>
      <c r="P428">
        <f t="shared" si="50"/>
        <v>15</v>
      </c>
      <c r="Q428" t="str">
        <f t="shared" si="51"/>
        <v>Within SLA</v>
      </c>
      <c r="R428" t="str">
        <f t="shared" si="52"/>
        <v>Off428</v>
      </c>
      <c r="S428">
        <v>2</v>
      </c>
      <c r="T428">
        <v>28</v>
      </c>
      <c r="U428">
        <v>27384</v>
      </c>
      <c r="V428">
        <v>26001</v>
      </c>
      <c r="W428" t="str">
        <f t="shared" si="53"/>
        <v>No</v>
      </c>
      <c r="X428" t="str">
        <f t="shared" si="54"/>
        <v>None</v>
      </c>
      <c r="Y428" s="2">
        <f t="shared" si="55"/>
        <v>46036</v>
      </c>
    </row>
    <row r="429" spans="1:25" x14ac:dyDescent="0.25">
      <c r="A429" t="s">
        <v>773</v>
      </c>
      <c r="B429" t="s">
        <v>69</v>
      </c>
      <c r="C429" t="s">
        <v>49</v>
      </c>
      <c r="D429" t="s">
        <v>34</v>
      </c>
      <c r="E429" t="s">
        <v>42</v>
      </c>
      <c r="F429" s="1">
        <v>24</v>
      </c>
      <c r="G429" t="s">
        <v>774</v>
      </c>
      <c r="H429" t="s">
        <v>16</v>
      </c>
      <c r="I429" t="s">
        <v>36</v>
      </c>
      <c r="J429" t="s">
        <v>18</v>
      </c>
      <c r="K429" t="str">
        <f t="shared" si="48"/>
        <v>General Complaint</v>
      </c>
      <c r="L429" t="s">
        <v>883</v>
      </c>
      <c r="M429" t="str">
        <f t="shared" si="49"/>
        <v>General complaint reported</v>
      </c>
      <c r="N429">
        <v>3</v>
      </c>
      <c r="O429" t="s">
        <v>37</v>
      </c>
      <c r="P429">
        <f t="shared" si="50"/>
        <v>3</v>
      </c>
      <c r="Q429" t="str">
        <f t="shared" si="51"/>
        <v>Delayed</v>
      </c>
      <c r="R429" t="str">
        <f t="shared" si="52"/>
        <v>Off429</v>
      </c>
      <c r="S429">
        <v>14</v>
      </c>
      <c r="T429">
        <v>37</v>
      </c>
      <c r="U429">
        <v>30114</v>
      </c>
      <c r="V429">
        <v>32047</v>
      </c>
      <c r="W429" t="str">
        <f t="shared" si="53"/>
        <v>Yes</v>
      </c>
      <c r="X429" t="str">
        <f t="shared" si="54"/>
        <v>Level 3</v>
      </c>
      <c r="Y429" s="2">
        <f t="shared" si="55"/>
        <v>46204</v>
      </c>
    </row>
    <row r="430" spans="1:25" x14ac:dyDescent="0.25">
      <c r="A430" t="s">
        <v>775</v>
      </c>
      <c r="B430" t="s">
        <v>11</v>
      </c>
      <c r="C430" t="s">
        <v>12</v>
      </c>
      <c r="D430" t="s">
        <v>34</v>
      </c>
      <c r="E430" t="s">
        <v>23</v>
      </c>
      <c r="F430" s="1">
        <v>3</v>
      </c>
      <c r="G430" t="s">
        <v>776</v>
      </c>
      <c r="H430" t="s">
        <v>40</v>
      </c>
      <c r="I430" t="s">
        <v>26</v>
      </c>
      <c r="J430" t="s">
        <v>37</v>
      </c>
      <c r="K430" t="str">
        <f t="shared" si="48"/>
        <v>Water Leakage</v>
      </c>
      <c r="L430" t="s">
        <v>884</v>
      </c>
      <c r="M430" t="str">
        <f t="shared" si="49"/>
        <v>Water pipe leakage near school</v>
      </c>
      <c r="N430">
        <v>5</v>
      </c>
      <c r="O430" t="s">
        <v>37</v>
      </c>
      <c r="P430">
        <f t="shared" si="50"/>
        <v>3</v>
      </c>
      <c r="Q430" t="str">
        <f t="shared" si="51"/>
        <v>Within SLA</v>
      </c>
      <c r="R430" t="str">
        <f t="shared" si="52"/>
        <v>Off430</v>
      </c>
      <c r="S430">
        <v>10</v>
      </c>
      <c r="T430">
        <v>18</v>
      </c>
      <c r="U430">
        <v>45388</v>
      </c>
      <c r="V430">
        <v>45837</v>
      </c>
      <c r="W430" t="str">
        <f t="shared" si="53"/>
        <v>No</v>
      </c>
      <c r="X430" t="str">
        <f t="shared" si="54"/>
        <v>None</v>
      </c>
      <c r="Y430" s="2">
        <f t="shared" si="55"/>
        <v>46177</v>
      </c>
    </row>
    <row r="431" spans="1:25" x14ac:dyDescent="0.25">
      <c r="A431" t="s">
        <v>777</v>
      </c>
      <c r="B431" t="s">
        <v>53</v>
      </c>
      <c r="C431" t="s">
        <v>39</v>
      </c>
      <c r="D431" t="s">
        <v>13</v>
      </c>
      <c r="E431" t="s">
        <v>30</v>
      </c>
      <c r="F431" s="1">
        <v>26</v>
      </c>
      <c r="G431" t="s">
        <v>778</v>
      </c>
      <c r="H431" t="s">
        <v>51</v>
      </c>
      <c r="I431" t="s">
        <v>17</v>
      </c>
      <c r="J431" t="s">
        <v>18</v>
      </c>
      <c r="K431" t="str">
        <f t="shared" si="48"/>
        <v>Public Transport Delay</v>
      </c>
      <c r="L431" t="s">
        <v>885</v>
      </c>
      <c r="M431" t="str">
        <f t="shared" si="49"/>
        <v>Bus arrival delay reported</v>
      </c>
      <c r="N431">
        <v>3</v>
      </c>
      <c r="O431" t="s">
        <v>37</v>
      </c>
      <c r="P431">
        <f t="shared" si="50"/>
        <v>15</v>
      </c>
      <c r="Q431" t="str">
        <f t="shared" si="51"/>
        <v>Delayed</v>
      </c>
      <c r="R431" t="str">
        <f t="shared" si="52"/>
        <v>Off431</v>
      </c>
      <c r="S431">
        <v>12</v>
      </c>
      <c r="T431">
        <v>27</v>
      </c>
      <c r="U431">
        <v>20695</v>
      </c>
      <c r="V431">
        <v>20214</v>
      </c>
      <c r="W431" t="str">
        <f t="shared" si="53"/>
        <v>Yes</v>
      </c>
      <c r="X431" t="str">
        <f t="shared" si="54"/>
        <v>Level 1</v>
      </c>
      <c r="Y431" s="2">
        <f t="shared" si="55"/>
        <v>46007</v>
      </c>
    </row>
    <row r="432" spans="1:25" x14ac:dyDescent="0.25">
      <c r="A432" t="s">
        <v>779</v>
      </c>
      <c r="B432" t="s">
        <v>11</v>
      </c>
      <c r="C432" t="s">
        <v>56</v>
      </c>
      <c r="D432" t="s">
        <v>22</v>
      </c>
      <c r="E432" t="s">
        <v>23</v>
      </c>
      <c r="F432" s="1">
        <v>12</v>
      </c>
      <c r="G432" t="s">
        <v>156</v>
      </c>
      <c r="H432" t="s">
        <v>25</v>
      </c>
      <c r="I432" t="s">
        <v>26</v>
      </c>
      <c r="J432" t="s">
        <v>18</v>
      </c>
      <c r="K432" t="str">
        <f t="shared" si="48"/>
        <v>Water Leakage</v>
      </c>
      <c r="L432" t="s">
        <v>881</v>
      </c>
      <c r="M432" t="str">
        <f t="shared" si="49"/>
        <v>Water pipe leakage near school</v>
      </c>
      <c r="N432">
        <v>3</v>
      </c>
      <c r="O432" t="s">
        <v>37</v>
      </c>
      <c r="P432">
        <f t="shared" si="50"/>
        <v>7</v>
      </c>
      <c r="Q432" t="str">
        <f t="shared" si="51"/>
        <v>Delayed</v>
      </c>
      <c r="R432" t="str">
        <f t="shared" si="52"/>
        <v>Off432</v>
      </c>
      <c r="S432">
        <v>8</v>
      </c>
      <c r="T432">
        <v>27</v>
      </c>
      <c r="U432">
        <v>19274</v>
      </c>
      <c r="V432">
        <v>17491</v>
      </c>
      <c r="W432" t="str">
        <f t="shared" si="53"/>
        <v>Yes</v>
      </c>
      <c r="X432" t="str">
        <f t="shared" si="54"/>
        <v>Level 2</v>
      </c>
      <c r="Y432" s="2">
        <f t="shared" si="55"/>
        <v>45678</v>
      </c>
    </row>
    <row r="433" spans="1:25" x14ac:dyDescent="0.25">
      <c r="A433" t="s">
        <v>780</v>
      </c>
      <c r="B433" t="s">
        <v>11</v>
      </c>
      <c r="C433" t="s">
        <v>61</v>
      </c>
      <c r="D433" t="s">
        <v>13</v>
      </c>
      <c r="E433" t="s">
        <v>14</v>
      </c>
      <c r="F433" s="1">
        <v>37</v>
      </c>
      <c r="G433" t="s">
        <v>492</v>
      </c>
      <c r="H433" t="s">
        <v>51</v>
      </c>
      <c r="I433" t="s">
        <v>65</v>
      </c>
      <c r="J433" t="s">
        <v>18</v>
      </c>
      <c r="K433" t="str">
        <f t="shared" si="48"/>
        <v>Water Leakage</v>
      </c>
      <c r="L433" t="s">
        <v>882</v>
      </c>
      <c r="M433" t="str">
        <f t="shared" si="49"/>
        <v>Water pipe leakage near school</v>
      </c>
      <c r="N433">
        <v>5</v>
      </c>
      <c r="O433" t="s">
        <v>37</v>
      </c>
      <c r="P433">
        <f t="shared" si="50"/>
        <v>15</v>
      </c>
      <c r="Q433" t="str">
        <f t="shared" si="51"/>
        <v>Delayed</v>
      </c>
      <c r="R433" t="str">
        <f t="shared" si="52"/>
        <v>Off433</v>
      </c>
      <c r="S433">
        <v>4</v>
      </c>
      <c r="T433">
        <v>33</v>
      </c>
      <c r="U433">
        <v>10727</v>
      </c>
      <c r="V433">
        <v>11547</v>
      </c>
      <c r="W433" t="str">
        <f t="shared" si="53"/>
        <v>Yes</v>
      </c>
      <c r="X433" t="str">
        <f t="shared" si="54"/>
        <v>Level 1</v>
      </c>
      <c r="Y433" s="2">
        <f t="shared" si="55"/>
        <v>45842</v>
      </c>
    </row>
    <row r="434" spans="1:25" x14ac:dyDescent="0.25">
      <c r="A434" t="s">
        <v>781</v>
      </c>
      <c r="B434" t="s">
        <v>28</v>
      </c>
      <c r="C434" t="s">
        <v>29</v>
      </c>
      <c r="D434" t="s">
        <v>13</v>
      </c>
      <c r="E434" t="s">
        <v>14</v>
      </c>
      <c r="F434" s="1">
        <v>15</v>
      </c>
      <c r="G434" t="s">
        <v>647</v>
      </c>
      <c r="H434" t="s">
        <v>47</v>
      </c>
      <c r="I434" t="s">
        <v>44</v>
      </c>
      <c r="J434" t="s">
        <v>18</v>
      </c>
      <c r="K434" t="str">
        <f t="shared" si="48"/>
        <v>Road Damage</v>
      </c>
      <c r="L434" t="s">
        <v>883</v>
      </c>
      <c r="M434" t="str">
        <f t="shared" si="49"/>
        <v>Road damaged due to heavy rain</v>
      </c>
      <c r="N434">
        <v>5</v>
      </c>
      <c r="O434" t="s">
        <v>37</v>
      </c>
      <c r="P434">
        <f t="shared" si="50"/>
        <v>15</v>
      </c>
      <c r="Q434" t="str">
        <f t="shared" si="51"/>
        <v>Within SLA</v>
      </c>
      <c r="R434" t="str">
        <f t="shared" si="52"/>
        <v>Off434</v>
      </c>
      <c r="S434">
        <v>10</v>
      </c>
      <c r="T434">
        <v>25</v>
      </c>
      <c r="U434">
        <v>23455</v>
      </c>
      <c r="V434">
        <v>24999</v>
      </c>
      <c r="W434" t="str">
        <f t="shared" si="53"/>
        <v>No</v>
      </c>
      <c r="X434" t="str">
        <f t="shared" si="54"/>
        <v>None</v>
      </c>
      <c r="Y434" s="2">
        <f t="shared" si="55"/>
        <v>45733</v>
      </c>
    </row>
    <row r="435" spans="1:25" x14ac:dyDescent="0.25">
      <c r="A435" t="s">
        <v>782</v>
      </c>
      <c r="B435" t="s">
        <v>20</v>
      </c>
      <c r="C435" t="s">
        <v>33</v>
      </c>
      <c r="D435" t="s">
        <v>34</v>
      </c>
      <c r="E435" t="s">
        <v>14</v>
      </c>
      <c r="F435" s="1">
        <v>34</v>
      </c>
      <c r="G435" t="s">
        <v>783</v>
      </c>
      <c r="H435" t="s">
        <v>58</v>
      </c>
      <c r="I435" t="s">
        <v>26</v>
      </c>
      <c r="J435" t="s">
        <v>18</v>
      </c>
      <c r="K435" t="str">
        <f t="shared" si="48"/>
        <v>Garbage Collection</v>
      </c>
      <c r="L435" t="s">
        <v>884</v>
      </c>
      <c r="M435" t="str">
        <f t="shared" si="49"/>
        <v>Garbage not collected for 3 days</v>
      </c>
      <c r="N435">
        <v>5</v>
      </c>
      <c r="O435" t="s">
        <v>37</v>
      </c>
      <c r="P435">
        <f t="shared" si="50"/>
        <v>3</v>
      </c>
      <c r="Q435" t="str">
        <f t="shared" si="51"/>
        <v>Delayed</v>
      </c>
      <c r="R435" t="str">
        <f t="shared" si="52"/>
        <v>Off435</v>
      </c>
      <c r="S435">
        <v>14</v>
      </c>
      <c r="T435">
        <v>29</v>
      </c>
      <c r="U435">
        <v>20827</v>
      </c>
      <c r="V435">
        <v>21127</v>
      </c>
      <c r="W435" t="str">
        <f t="shared" si="53"/>
        <v>Yes</v>
      </c>
      <c r="X435" t="str">
        <f t="shared" si="54"/>
        <v>Level 3</v>
      </c>
      <c r="Y435" s="2">
        <f t="shared" si="55"/>
        <v>46196</v>
      </c>
    </row>
    <row r="436" spans="1:25" x14ac:dyDescent="0.25">
      <c r="A436" t="s">
        <v>784</v>
      </c>
      <c r="B436" t="s">
        <v>53</v>
      </c>
      <c r="C436" t="s">
        <v>29</v>
      </c>
      <c r="D436" t="s">
        <v>34</v>
      </c>
      <c r="E436" t="s">
        <v>30</v>
      </c>
      <c r="F436" s="1">
        <v>6</v>
      </c>
      <c r="G436" t="s">
        <v>496</v>
      </c>
      <c r="H436" t="s">
        <v>58</v>
      </c>
      <c r="I436" t="s">
        <v>36</v>
      </c>
      <c r="J436" t="s">
        <v>37</v>
      </c>
      <c r="K436" t="str">
        <f t="shared" si="48"/>
        <v>Public Transport Delay</v>
      </c>
      <c r="L436" t="s">
        <v>885</v>
      </c>
      <c r="M436" t="str">
        <f t="shared" si="49"/>
        <v>Bus arrival delay reported</v>
      </c>
      <c r="N436">
        <v>5</v>
      </c>
      <c r="O436" t="s">
        <v>37</v>
      </c>
      <c r="P436">
        <f t="shared" si="50"/>
        <v>3</v>
      </c>
      <c r="Q436" t="str">
        <f t="shared" si="51"/>
        <v>Delayed</v>
      </c>
      <c r="R436" t="str">
        <f t="shared" si="52"/>
        <v>Off436</v>
      </c>
      <c r="S436">
        <v>13</v>
      </c>
      <c r="T436">
        <v>19</v>
      </c>
      <c r="U436">
        <v>42100</v>
      </c>
      <c r="V436">
        <v>40541</v>
      </c>
      <c r="W436" t="str">
        <f t="shared" si="53"/>
        <v>Yes</v>
      </c>
      <c r="X436" t="str">
        <f t="shared" si="54"/>
        <v>Level 3</v>
      </c>
      <c r="Y436" s="2">
        <f t="shared" si="55"/>
        <v>46188</v>
      </c>
    </row>
    <row r="437" spans="1:25" x14ac:dyDescent="0.25">
      <c r="A437" t="s">
        <v>785</v>
      </c>
      <c r="B437" t="s">
        <v>60</v>
      </c>
      <c r="C437" t="s">
        <v>76</v>
      </c>
      <c r="D437" t="s">
        <v>34</v>
      </c>
      <c r="E437" t="s">
        <v>23</v>
      </c>
      <c r="F437" s="1">
        <v>2</v>
      </c>
      <c r="G437" t="s">
        <v>786</v>
      </c>
      <c r="H437" t="s">
        <v>47</v>
      </c>
      <c r="I437" t="s">
        <v>36</v>
      </c>
      <c r="J437" t="s">
        <v>37</v>
      </c>
      <c r="K437" t="str">
        <f t="shared" si="48"/>
        <v>General Complaint</v>
      </c>
      <c r="L437" t="s">
        <v>881</v>
      </c>
      <c r="M437" t="str">
        <f t="shared" si="49"/>
        <v>General complaint reported</v>
      </c>
      <c r="N437">
        <v>1</v>
      </c>
      <c r="O437" t="s">
        <v>18</v>
      </c>
      <c r="P437">
        <f t="shared" si="50"/>
        <v>3</v>
      </c>
      <c r="Q437" t="str">
        <f t="shared" si="51"/>
        <v>Within SLA</v>
      </c>
      <c r="R437" t="str">
        <f t="shared" si="52"/>
        <v>Off437</v>
      </c>
      <c r="S437">
        <v>7</v>
      </c>
      <c r="T437">
        <v>50</v>
      </c>
      <c r="U437">
        <v>22952</v>
      </c>
      <c r="V437">
        <v>24509</v>
      </c>
      <c r="W437" t="str">
        <f t="shared" si="53"/>
        <v>No</v>
      </c>
      <c r="X437" t="str">
        <f t="shared" si="54"/>
        <v>None</v>
      </c>
      <c r="Y437" s="2">
        <f t="shared" si="55"/>
        <v>45866</v>
      </c>
    </row>
    <row r="438" spans="1:25" x14ac:dyDescent="0.25">
      <c r="A438" t="s">
        <v>787</v>
      </c>
      <c r="B438" t="s">
        <v>69</v>
      </c>
      <c r="C438" t="s">
        <v>39</v>
      </c>
      <c r="D438" t="s">
        <v>34</v>
      </c>
      <c r="E438" t="s">
        <v>42</v>
      </c>
      <c r="F438" s="1">
        <v>22</v>
      </c>
      <c r="G438" t="s">
        <v>372</v>
      </c>
      <c r="H438" t="s">
        <v>58</v>
      </c>
      <c r="I438" t="s">
        <v>36</v>
      </c>
      <c r="J438" t="s">
        <v>18</v>
      </c>
      <c r="K438" t="str">
        <f t="shared" si="48"/>
        <v>General Complaint</v>
      </c>
      <c r="L438" t="s">
        <v>882</v>
      </c>
      <c r="M438" t="str">
        <f t="shared" si="49"/>
        <v>General complaint reported</v>
      </c>
      <c r="N438">
        <v>2</v>
      </c>
      <c r="O438" t="s">
        <v>18</v>
      </c>
      <c r="P438">
        <f t="shared" si="50"/>
        <v>3</v>
      </c>
      <c r="Q438" t="str">
        <f t="shared" si="51"/>
        <v>Delayed</v>
      </c>
      <c r="R438" t="str">
        <f t="shared" si="52"/>
        <v>Off438</v>
      </c>
      <c r="S438">
        <v>10</v>
      </c>
      <c r="T438">
        <v>44</v>
      </c>
      <c r="U438">
        <v>39676</v>
      </c>
      <c r="V438">
        <v>38478</v>
      </c>
      <c r="W438" t="str">
        <f t="shared" si="53"/>
        <v>Yes</v>
      </c>
      <c r="X438" t="str">
        <f t="shared" si="54"/>
        <v>Level 3</v>
      </c>
      <c r="Y438" s="2">
        <f t="shared" si="55"/>
        <v>45968</v>
      </c>
    </row>
    <row r="439" spans="1:25" x14ac:dyDescent="0.25">
      <c r="A439" t="s">
        <v>788</v>
      </c>
      <c r="B439" t="s">
        <v>28</v>
      </c>
      <c r="C439" t="s">
        <v>76</v>
      </c>
      <c r="D439" t="s">
        <v>34</v>
      </c>
      <c r="E439" t="s">
        <v>42</v>
      </c>
      <c r="F439" s="1">
        <v>27</v>
      </c>
      <c r="G439" t="s">
        <v>789</v>
      </c>
      <c r="H439" t="s">
        <v>25</v>
      </c>
      <c r="I439" t="s">
        <v>26</v>
      </c>
      <c r="J439" t="s">
        <v>18</v>
      </c>
      <c r="K439" t="str">
        <f t="shared" si="48"/>
        <v>Road Damage</v>
      </c>
      <c r="L439" t="s">
        <v>883</v>
      </c>
      <c r="M439" t="str">
        <f t="shared" si="49"/>
        <v>Road damaged due to heavy rain</v>
      </c>
      <c r="N439">
        <v>5</v>
      </c>
      <c r="O439" t="s">
        <v>37</v>
      </c>
      <c r="P439">
        <f t="shared" si="50"/>
        <v>3</v>
      </c>
      <c r="Q439" t="str">
        <f t="shared" si="51"/>
        <v>Delayed</v>
      </c>
      <c r="R439" t="str">
        <f t="shared" si="52"/>
        <v>Off439</v>
      </c>
      <c r="S439">
        <v>6</v>
      </c>
      <c r="T439">
        <v>7</v>
      </c>
      <c r="U439">
        <v>34914</v>
      </c>
      <c r="V439">
        <v>33604</v>
      </c>
      <c r="W439" t="str">
        <f t="shared" si="53"/>
        <v>Yes</v>
      </c>
      <c r="X439" t="str">
        <f t="shared" si="54"/>
        <v>Level 3</v>
      </c>
      <c r="Y439" s="2">
        <f t="shared" si="55"/>
        <v>45934</v>
      </c>
    </row>
    <row r="440" spans="1:25" x14ac:dyDescent="0.25">
      <c r="A440" t="s">
        <v>790</v>
      </c>
      <c r="B440" t="s">
        <v>11</v>
      </c>
      <c r="C440" t="s">
        <v>56</v>
      </c>
      <c r="D440" t="s">
        <v>34</v>
      </c>
      <c r="E440" t="s">
        <v>14</v>
      </c>
      <c r="F440" s="1">
        <v>39</v>
      </c>
      <c r="G440" t="s">
        <v>576</v>
      </c>
      <c r="H440" t="s">
        <v>58</v>
      </c>
      <c r="I440" t="s">
        <v>17</v>
      </c>
      <c r="J440" t="s">
        <v>18</v>
      </c>
      <c r="K440" t="str">
        <f t="shared" si="48"/>
        <v>Water Leakage</v>
      </c>
      <c r="L440" t="s">
        <v>884</v>
      </c>
      <c r="M440" t="str">
        <f t="shared" si="49"/>
        <v>Water pipe leakage near school</v>
      </c>
      <c r="N440">
        <v>2</v>
      </c>
      <c r="O440" t="s">
        <v>18</v>
      </c>
      <c r="P440">
        <f t="shared" si="50"/>
        <v>3</v>
      </c>
      <c r="Q440" t="str">
        <f t="shared" si="51"/>
        <v>Delayed</v>
      </c>
      <c r="R440" t="str">
        <f t="shared" si="52"/>
        <v>Off440</v>
      </c>
      <c r="S440">
        <v>4</v>
      </c>
      <c r="T440">
        <v>22</v>
      </c>
      <c r="U440">
        <v>2288</v>
      </c>
      <c r="V440">
        <v>3943</v>
      </c>
      <c r="W440" t="str">
        <f t="shared" si="53"/>
        <v>Yes</v>
      </c>
      <c r="X440" t="str">
        <f t="shared" si="54"/>
        <v>Level 3</v>
      </c>
      <c r="Y440" s="2">
        <f t="shared" si="55"/>
        <v>45779</v>
      </c>
    </row>
    <row r="441" spans="1:25" x14ac:dyDescent="0.25">
      <c r="A441" t="s">
        <v>791</v>
      </c>
      <c r="B441" t="s">
        <v>69</v>
      </c>
      <c r="C441" t="s">
        <v>49</v>
      </c>
      <c r="D441" t="s">
        <v>22</v>
      </c>
      <c r="E441" t="s">
        <v>14</v>
      </c>
      <c r="F441" s="1">
        <v>31</v>
      </c>
      <c r="G441" t="s">
        <v>792</v>
      </c>
      <c r="H441" t="s">
        <v>40</v>
      </c>
      <c r="I441" t="s">
        <v>17</v>
      </c>
      <c r="J441" t="s">
        <v>18</v>
      </c>
      <c r="K441" t="str">
        <f t="shared" si="48"/>
        <v>General Complaint</v>
      </c>
      <c r="L441" t="s">
        <v>885</v>
      </c>
      <c r="M441" t="str">
        <f t="shared" si="49"/>
        <v>General complaint reported</v>
      </c>
      <c r="N441">
        <v>2</v>
      </c>
      <c r="O441" t="s">
        <v>18</v>
      </c>
      <c r="P441">
        <f t="shared" si="50"/>
        <v>7</v>
      </c>
      <c r="Q441" t="str">
        <f t="shared" si="51"/>
        <v>Delayed</v>
      </c>
      <c r="R441" t="str">
        <f t="shared" si="52"/>
        <v>Off441</v>
      </c>
      <c r="S441">
        <v>11</v>
      </c>
      <c r="T441">
        <v>21</v>
      </c>
      <c r="U441">
        <v>32794</v>
      </c>
      <c r="V441">
        <v>32735</v>
      </c>
      <c r="W441" t="str">
        <f t="shared" si="53"/>
        <v>Yes</v>
      </c>
      <c r="X441" t="str">
        <f t="shared" si="54"/>
        <v>Level 2</v>
      </c>
      <c r="Y441" s="2">
        <f t="shared" si="55"/>
        <v>46037</v>
      </c>
    </row>
    <row r="442" spans="1:25" x14ac:dyDescent="0.25">
      <c r="A442" t="s">
        <v>793</v>
      </c>
      <c r="B442" t="s">
        <v>28</v>
      </c>
      <c r="C442" t="s">
        <v>29</v>
      </c>
      <c r="D442" t="s">
        <v>13</v>
      </c>
      <c r="E442" t="s">
        <v>23</v>
      </c>
      <c r="F442" s="1">
        <v>10</v>
      </c>
      <c r="G442" t="s">
        <v>551</v>
      </c>
      <c r="H442" t="s">
        <v>47</v>
      </c>
      <c r="I442" t="s">
        <v>36</v>
      </c>
      <c r="J442" t="s">
        <v>18</v>
      </c>
      <c r="K442" t="str">
        <f t="shared" si="48"/>
        <v>Road Damage</v>
      </c>
      <c r="L442" t="s">
        <v>881</v>
      </c>
      <c r="M442" t="str">
        <f t="shared" si="49"/>
        <v>Road damaged due to heavy rain</v>
      </c>
      <c r="N442">
        <v>5</v>
      </c>
      <c r="O442" t="s">
        <v>37</v>
      </c>
      <c r="P442">
        <f t="shared" si="50"/>
        <v>15</v>
      </c>
      <c r="Q442" t="str">
        <f t="shared" si="51"/>
        <v>Within SLA</v>
      </c>
      <c r="R442" t="str">
        <f t="shared" si="52"/>
        <v>Off442</v>
      </c>
      <c r="S442">
        <v>10</v>
      </c>
      <c r="T442">
        <v>8</v>
      </c>
      <c r="U442">
        <v>13233</v>
      </c>
      <c r="V442">
        <v>12844</v>
      </c>
      <c r="W442" t="str">
        <f t="shared" si="53"/>
        <v>No</v>
      </c>
      <c r="X442" t="str">
        <f t="shared" si="54"/>
        <v>None</v>
      </c>
      <c r="Y442" s="2">
        <f t="shared" si="55"/>
        <v>45769</v>
      </c>
    </row>
    <row r="443" spans="1:25" x14ac:dyDescent="0.25">
      <c r="A443" t="s">
        <v>794</v>
      </c>
      <c r="B443" t="s">
        <v>20</v>
      </c>
      <c r="C443" t="s">
        <v>12</v>
      </c>
      <c r="D443" t="s">
        <v>13</v>
      </c>
      <c r="E443" t="s">
        <v>23</v>
      </c>
      <c r="F443" s="1">
        <v>3</v>
      </c>
      <c r="G443" t="s">
        <v>385</v>
      </c>
      <c r="H443" t="s">
        <v>51</v>
      </c>
      <c r="I443" t="s">
        <v>17</v>
      </c>
      <c r="J443" t="s">
        <v>37</v>
      </c>
      <c r="K443" t="str">
        <f t="shared" si="48"/>
        <v>Garbage Collection</v>
      </c>
      <c r="L443" t="s">
        <v>882</v>
      </c>
      <c r="M443" t="str">
        <f t="shared" si="49"/>
        <v>Garbage not collected for 3 days</v>
      </c>
      <c r="N443">
        <v>1</v>
      </c>
      <c r="O443" t="s">
        <v>18</v>
      </c>
      <c r="P443">
        <f t="shared" si="50"/>
        <v>15</v>
      </c>
      <c r="Q443" t="str">
        <f t="shared" si="51"/>
        <v>Within SLA</v>
      </c>
      <c r="R443" t="str">
        <f t="shared" si="52"/>
        <v>Off443</v>
      </c>
      <c r="S443">
        <v>5</v>
      </c>
      <c r="T443">
        <v>44</v>
      </c>
      <c r="U443">
        <v>49942</v>
      </c>
      <c r="V443">
        <v>51146</v>
      </c>
      <c r="W443" t="str">
        <f t="shared" si="53"/>
        <v>No</v>
      </c>
      <c r="X443" t="str">
        <f t="shared" si="54"/>
        <v>None</v>
      </c>
      <c r="Y443" s="2">
        <f t="shared" si="55"/>
        <v>46065</v>
      </c>
    </row>
    <row r="444" spans="1:25" x14ac:dyDescent="0.25">
      <c r="A444" t="s">
        <v>795</v>
      </c>
      <c r="B444" t="s">
        <v>28</v>
      </c>
      <c r="C444" t="s">
        <v>76</v>
      </c>
      <c r="D444" t="s">
        <v>13</v>
      </c>
      <c r="E444" t="s">
        <v>42</v>
      </c>
      <c r="F444" s="1">
        <v>17</v>
      </c>
      <c r="G444" t="s">
        <v>778</v>
      </c>
      <c r="H444" t="s">
        <v>51</v>
      </c>
      <c r="I444" t="s">
        <v>44</v>
      </c>
      <c r="J444" t="s">
        <v>18</v>
      </c>
      <c r="K444" t="str">
        <f t="shared" si="48"/>
        <v>Road Damage</v>
      </c>
      <c r="L444" t="s">
        <v>883</v>
      </c>
      <c r="M444" t="str">
        <f t="shared" si="49"/>
        <v>Road damaged due to heavy rain</v>
      </c>
      <c r="N444">
        <v>4</v>
      </c>
      <c r="O444" t="s">
        <v>37</v>
      </c>
      <c r="P444">
        <f t="shared" si="50"/>
        <v>15</v>
      </c>
      <c r="Q444" t="str">
        <f t="shared" si="51"/>
        <v>Delayed</v>
      </c>
      <c r="R444" t="str">
        <f t="shared" si="52"/>
        <v>Off444</v>
      </c>
      <c r="S444">
        <v>14</v>
      </c>
      <c r="T444">
        <v>18</v>
      </c>
      <c r="U444">
        <v>45898</v>
      </c>
      <c r="V444">
        <v>45586</v>
      </c>
      <c r="W444" t="str">
        <f t="shared" si="53"/>
        <v>Yes</v>
      </c>
      <c r="X444" t="str">
        <f t="shared" si="54"/>
        <v>Level 1</v>
      </c>
      <c r="Y444" s="2">
        <f t="shared" si="55"/>
        <v>45998</v>
      </c>
    </row>
    <row r="445" spans="1:25" x14ac:dyDescent="0.25">
      <c r="A445" t="s">
        <v>796</v>
      </c>
      <c r="B445" t="s">
        <v>20</v>
      </c>
      <c r="C445" t="s">
        <v>76</v>
      </c>
      <c r="D445" t="s">
        <v>34</v>
      </c>
      <c r="E445" t="s">
        <v>23</v>
      </c>
      <c r="F445" s="1">
        <v>13</v>
      </c>
      <c r="G445" t="s">
        <v>567</v>
      </c>
      <c r="H445" t="s">
        <v>51</v>
      </c>
      <c r="I445" t="s">
        <v>36</v>
      </c>
      <c r="J445" t="s">
        <v>18</v>
      </c>
      <c r="K445" t="str">
        <f t="shared" si="48"/>
        <v>Garbage Collection</v>
      </c>
      <c r="L445" t="s">
        <v>884</v>
      </c>
      <c r="M445" t="str">
        <f t="shared" si="49"/>
        <v>Garbage not collected for 3 days</v>
      </c>
      <c r="N445">
        <v>4</v>
      </c>
      <c r="O445" t="s">
        <v>37</v>
      </c>
      <c r="P445">
        <f t="shared" si="50"/>
        <v>3</v>
      </c>
      <c r="Q445" t="str">
        <f t="shared" si="51"/>
        <v>Delayed</v>
      </c>
      <c r="R445" t="str">
        <f t="shared" si="52"/>
        <v>Off445</v>
      </c>
      <c r="S445">
        <v>5</v>
      </c>
      <c r="T445">
        <v>17</v>
      </c>
      <c r="U445">
        <v>43785</v>
      </c>
      <c r="V445">
        <v>42970</v>
      </c>
      <c r="W445" t="str">
        <f t="shared" si="53"/>
        <v>Yes</v>
      </c>
      <c r="X445" t="str">
        <f t="shared" si="54"/>
        <v>Level 3</v>
      </c>
      <c r="Y445" s="2">
        <f t="shared" si="55"/>
        <v>45917</v>
      </c>
    </row>
    <row r="446" spans="1:25" x14ac:dyDescent="0.25">
      <c r="A446" t="s">
        <v>797</v>
      </c>
      <c r="B446" t="s">
        <v>20</v>
      </c>
      <c r="C446" t="s">
        <v>33</v>
      </c>
      <c r="D446" t="s">
        <v>34</v>
      </c>
      <c r="E446" t="s">
        <v>23</v>
      </c>
      <c r="F446" s="1">
        <v>30</v>
      </c>
      <c r="G446" t="s">
        <v>660</v>
      </c>
      <c r="H446" t="s">
        <v>58</v>
      </c>
      <c r="I446" t="s">
        <v>17</v>
      </c>
      <c r="J446" t="s">
        <v>18</v>
      </c>
      <c r="K446" t="str">
        <f t="shared" si="48"/>
        <v>Garbage Collection</v>
      </c>
      <c r="L446" t="s">
        <v>885</v>
      </c>
      <c r="M446" t="str">
        <f t="shared" si="49"/>
        <v>Garbage not collected for 3 days</v>
      </c>
      <c r="N446">
        <v>3</v>
      </c>
      <c r="O446" t="s">
        <v>37</v>
      </c>
      <c r="P446">
        <f t="shared" si="50"/>
        <v>3</v>
      </c>
      <c r="Q446" t="str">
        <f t="shared" si="51"/>
        <v>Delayed</v>
      </c>
      <c r="R446" t="str">
        <f t="shared" si="52"/>
        <v>Off446</v>
      </c>
      <c r="S446">
        <v>1</v>
      </c>
      <c r="T446">
        <v>6</v>
      </c>
      <c r="U446">
        <v>33219</v>
      </c>
      <c r="V446">
        <v>33552</v>
      </c>
      <c r="W446" t="str">
        <f t="shared" si="53"/>
        <v>Yes</v>
      </c>
      <c r="X446" t="str">
        <f t="shared" si="54"/>
        <v>Level 3</v>
      </c>
      <c r="Y446" s="2">
        <f t="shared" si="55"/>
        <v>46170</v>
      </c>
    </row>
    <row r="447" spans="1:25" x14ac:dyDescent="0.25">
      <c r="A447" t="s">
        <v>798</v>
      </c>
      <c r="B447" t="s">
        <v>69</v>
      </c>
      <c r="C447" t="s">
        <v>49</v>
      </c>
      <c r="D447" t="s">
        <v>13</v>
      </c>
      <c r="E447" t="s">
        <v>14</v>
      </c>
      <c r="F447" s="1">
        <v>41</v>
      </c>
      <c r="G447" t="s">
        <v>799</v>
      </c>
      <c r="H447" t="s">
        <v>40</v>
      </c>
      <c r="I447" t="s">
        <v>65</v>
      </c>
      <c r="J447" t="s">
        <v>18</v>
      </c>
      <c r="K447" t="str">
        <f t="shared" si="48"/>
        <v>General Complaint</v>
      </c>
      <c r="L447" t="s">
        <v>881</v>
      </c>
      <c r="M447" t="str">
        <f t="shared" si="49"/>
        <v>General complaint reported</v>
      </c>
      <c r="N447">
        <v>4</v>
      </c>
      <c r="O447" t="s">
        <v>37</v>
      </c>
      <c r="P447">
        <f t="shared" si="50"/>
        <v>15</v>
      </c>
      <c r="Q447" t="str">
        <f t="shared" si="51"/>
        <v>Delayed</v>
      </c>
      <c r="R447" t="str">
        <f t="shared" si="52"/>
        <v>Off447</v>
      </c>
      <c r="S447">
        <v>3</v>
      </c>
      <c r="T447">
        <v>8</v>
      </c>
      <c r="U447">
        <v>26374</v>
      </c>
      <c r="V447">
        <v>26950</v>
      </c>
      <c r="W447" t="str">
        <f t="shared" si="53"/>
        <v>Yes</v>
      </c>
      <c r="X447" t="str">
        <f t="shared" si="54"/>
        <v>Level 1</v>
      </c>
      <c r="Y447" s="2">
        <f t="shared" si="55"/>
        <v>46038</v>
      </c>
    </row>
    <row r="448" spans="1:25" x14ac:dyDescent="0.25">
      <c r="A448" t="s">
        <v>800</v>
      </c>
      <c r="B448" t="s">
        <v>20</v>
      </c>
      <c r="C448" t="s">
        <v>61</v>
      </c>
      <c r="D448" t="s">
        <v>22</v>
      </c>
      <c r="E448" t="s">
        <v>23</v>
      </c>
      <c r="F448" s="1">
        <v>6</v>
      </c>
      <c r="G448" t="s">
        <v>801</v>
      </c>
      <c r="H448" t="s">
        <v>40</v>
      </c>
      <c r="I448" t="s">
        <v>17</v>
      </c>
      <c r="J448" t="s">
        <v>37</v>
      </c>
      <c r="K448" t="str">
        <f t="shared" si="48"/>
        <v>Garbage Collection</v>
      </c>
      <c r="L448" t="s">
        <v>882</v>
      </c>
      <c r="M448" t="str">
        <f t="shared" si="49"/>
        <v>Garbage not collected for 3 days</v>
      </c>
      <c r="N448">
        <v>5</v>
      </c>
      <c r="O448" t="s">
        <v>37</v>
      </c>
      <c r="P448">
        <f t="shared" si="50"/>
        <v>7</v>
      </c>
      <c r="Q448" t="str">
        <f t="shared" si="51"/>
        <v>Within SLA</v>
      </c>
      <c r="R448" t="str">
        <f t="shared" si="52"/>
        <v>Off448</v>
      </c>
      <c r="S448">
        <v>1</v>
      </c>
      <c r="T448">
        <v>13</v>
      </c>
      <c r="U448">
        <v>31705</v>
      </c>
      <c r="V448">
        <v>31131</v>
      </c>
      <c r="W448" t="str">
        <f t="shared" si="53"/>
        <v>No</v>
      </c>
      <c r="X448" t="str">
        <f t="shared" si="54"/>
        <v>None</v>
      </c>
      <c r="Y448" s="2">
        <f t="shared" si="55"/>
        <v>45959</v>
      </c>
    </row>
    <row r="449" spans="1:25" x14ac:dyDescent="0.25">
      <c r="A449" t="s">
        <v>802</v>
      </c>
      <c r="B449" t="s">
        <v>11</v>
      </c>
      <c r="C449" t="s">
        <v>49</v>
      </c>
      <c r="D449" t="s">
        <v>13</v>
      </c>
      <c r="E449" t="s">
        <v>42</v>
      </c>
      <c r="F449" s="1">
        <v>23</v>
      </c>
      <c r="G449" t="s">
        <v>441</v>
      </c>
      <c r="H449" t="s">
        <v>58</v>
      </c>
      <c r="I449" t="s">
        <v>44</v>
      </c>
      <c r="J449" t="s">
        <v>18</v>
      </c>
      <c r="K449" t="str">
        <f t="shared" si="48"/>
        <v>Water Leakage</v>
      </c>
      <c r="L449" t="s">
        <v>883</v>
      </c>
      <c r="M449" t="str">
        <f t="shared" si="49"/>
        <v>Water pipe leakage near school</v>
      </c>
      <c r="N449">
        <v>2</v>
      </c>
      <c r="O449" t="s">
        <v>18</v>
      </c>
      <c r="P449">
        <f t="shared" si="50"/>
        <v>15</v>
      </c>
      <c r="Q449" t="str">
        <f t="shared" si="51"/>
        <v>Delayed</v>
      </c>
      <c r="R449" t="str">
        <f t="shared" si="52"/>
        <v>Off449</v>
      </c>
      <c r="S449">
        <v>7</v>
      </c>
      <c r="T449">
        <v>46</v>
      </c>
      <c r="U449">
        <v>27265</v>
      </c>
      <c r="V449">
        <v>26350</v>
      </c>
      <c r="W449" t="str">
        <f t="shared" si="53"/>
        <v>Yes</v>
      </c>
      <c r="X449" t="str">
        <f t="shared" si="54"/>
        <v>Level 1</v>
      </c>
      <c r="Y449" s="2">
        <f t="shared" si="55"/>
        <v>45786</v>
      </c>
    </row>
    <row r="450" spans="1:25" x14ac:dyDescent="0.25">
      <c r="A450" t="s">
        <v>803</v>
      </c>
      <c r="B450" t="s">
        <v>28</v>
      </c>
      <c r="C450" t="s">
        <v>56</v>
      </c>
      <c r="D450" t="s">
        <v>13</v>
      </c>
      <c r="E450" t="s">
        <v>42</v>
      </c>
      <c r="F450" s="1">
        <v>14</v>
      </c>
      <c r="G450" t="s">
        <v>466</v>
      </c>
      <c r="H450" t="s">
        <v>40</v>
      </c>
      <c r="I450" t="s">
        <v>26</v>
      </c>
      <c r="J450" t="s">
        <v>18</v>
      </c>
      <c r="K450" t="str">
        <f t="shared" si="48"/>
        <v>Road Damage</v>
      </c>
      <c r="L450" t="s">
        <v>884</v>
      </c>
      <c r="M450" t="str">
        <f t="shared" si="49"/>
        <v>Road damaged due to heavy rain</v>
      </c>
      <c r="N450">
        <v>5</v>
      </c>
      <c r="O450" t="s">
        <v>37</v>
      </c>
      <c r="P450">
        <f t="shared" si="50"/>
        <v>15</v>
      </c>
      <c r="Q450" t="str">
        <f t="shared" si="51"/>
        <v>Within SLA</v>
      </c>
      <c r="R450" t="str">
        <f t="shared" si="52"/>
        <v>Off450</v>
      </c>
      <c r="S450">
        <v>4</v>
      </c>
      <c r="T450">
        <v>11</v>
      </c>
      <c r="U450">
        <v>27042</v>
      </c>
      <c r="V450">
        <v>28003</v>
      </c>
      <c r="W450" t="str">
        <f t="shared" si="53"/>
        <v>No</v>
      </c>
      <c r="X450" t="str">
        <f t="shared" si="54"/>
        <v>None</v>
      </c>
      <c r="Y450" s="2">
        <f t="shared" si="55"/>
        <v>46168</v>
      </c>
    </row>
    <row r="451" spans="1:25" x14ac:dyDescent="0.25">
      <c r="A451" t="s">
        <v>804</v>
      </c>
      <c r="B451" t="s">
        <v>28</v>
      </c>
      <c r="C451" t="s">
        <v>29</v>
      </c>
      <c r="D451" t="s">
        <v>34</v>
      </c>
      <c r="E451" t="s">
        <v>14</v>
      </c>
      <c r="F451" s="1">
        <v>45</v>
      </c>
      <c r="G451" t="s">
        <v>805</v>
      </c>
      <c r="H451" t="s">
        <v>16</v>
      </c>
      <c r="I451" t="s">
        <v>65</v>
      </c>
      <c r="J451" t="s">
        <v>18</v>
      </c>
      <c r="K451" t="str">
        <f t="shared" ref="K451:K501" si="56">IF(B451="Water Supply","Water Leakage",
IF(B451="Roads","Road Damage",
IF(B451="Municipal Services","Garbage Collection",
IF(B451="Electricity","Street Light Failure",
IF(B451="Public Transport","Public Transport Delay","General Complaint")))))</f>
        <v>Road Damage</v>
      </c>
      <c r="L451" t="s">
        <v>885</v>
      </c>
      <c r="M451" t="str">
        <f t="shared" ref="M451:M501" si="57">IF(K451="Water Leakage","Water pipe leakage near school",
IF(K451="Road Damage","Road damaged due to heavy rain",
IF(K451="Garbage Collection","Garbage not collected for 3 days",
IF(K451="Street Light Failure","Street light not working in residential area",
IF(K451="Public Transport Delay","Bus arrival delay reported",
"General complaint reported")))))</f>
        <v>Road damaged due to heavy rain</v>
      </c>
      <c r="N451">
        <v>5</v>
      </c>
      <c r="O451" t="s">
        <v>37</v>
      </c>
      <c r="P451">
        <f t="shared" ref="P451:P501" si="58">IF(D451="High",3,
IF(D451="Medium",7,15))</f>
        <v>3</v>
      </c>
      <c r="Q451" t="str">
        <f t="shared" ref="Q451:Q501" si="59">IF(F451&lt;=P451,"Within SLA","Delayed")</f>
        <v>Delayed</v>
      </c>
      <c r="R451" t="str">
        <f t="shared" ref="R451:R501" si="60">"Off"&amp;TEXT(ROW(A451),"000")</f>
        <v>Off451</v>
      </c>
      <c r="S451">
        <v>1</v>
      </c>
      <c r="T451">
        <v>46</v>
      </c>
      <c r="U451">
        <v>46281</v>
      </c>
      <c r="V451">
        <v>46042</v>
      </c>
      <c r="W451" t="str">
        <f t="shared" ref="W451:W501" si="61">IF(F451&gt;P451,"Yes","No")</f>
        <v>Yes</v>
      </c>
      <c r="X451" t="str">
        <f t="shared" ref="X451:X501" si="62">IF(W451="No","None",
IF(D451="High","Level 3",
IF(D451="Medium","Level 2","Level 1")))</f>
        <v>Level 3</v>
      </c>
      <c r="Y451" s="2">
        <f t="shared" ref="Y451:Y501" si="63">G451+F451</f>
        <v>46216</v>
      </c>
    </row>
    <row r="452" spans="1:25" x14ac:dyDescent="0.25">
      <c r="A452" t="s">
        <v>806</v>
      </c>
      <c r="B452" t="s">
        <v>11</v>
      </c>
      <c r="C452" t="s">
        <v>12</v>
      </c>
      <c r="D452" t="s">
        <v>13</v>
      </c>
      <c r="E452" t="s">
        <v>14</v>
      </c>
      <c r="F452" s="1">
        <v>2</v>
      </c>
      <c r="G452" t="s">
        <v>807</v>
      </c>
      <c r="H452" t="s">
        <v>16</v>
      </c>
      <c r="I452" t="s">
        <v>26</v>
      </c>
      <c r="J452" t="s">
        <v>37</v>
      </c>
      <c r="K452" t="str">
        <f t="shared" si="56"/>
        <v>Water Leakage</v>
      </c>
      <c r="L452" t="s">
        <v>881</v>
      </c>
      <c r="M452" t="str">
        <f t="shared" si="57"/>
        <v>Water pipe leakage near school</v>
      </c>
      <c r="N452">
        <v>3</v>
      </c>
      <c r="O452" t="s">
        <v>37</v>
      </c>
      <c r="P452">
        <f t="shared" si="58"/>
        <v>15</v>
      </c>
      <c r="Q452" t="str">
        <f t="shared" si="59"/>
        <v>Within SLA</v>
      </c>
      <c r="R452" t="str">
        <f t="shared" si="60"/>
        <v>Off452</v>
      </c>
      <c r="S452">
        <v>11</v>
      </c>
      <c r="T452">
        <v>25</v>
      </c>
      <c r="U452">
        <v>35364</v>
      </c>
      <c r="V452">
        <v>36324</v>
      </c>
      <c r="W452" t="str">
        <f t="shared" si="61"/>
        <v>No</v>
      </c>
      <c r="X452" t="str">
        <f t="shared" si="62"/>
        <v>None</v>
      </c>
      <c r="Y452" s="2">
        <f t="shared" si="63"/>
        <v>45968</v>
      </c>
    </row>
    <row r="453" spans="1:25" x14ac:dyDescent="0.25">
      <c r="A453" t="s">
        <v>808</v>
      </c>
      <c r="B453" t="s">
        <v>28</v>
      </c>
      <c r="C453" t="s">
        <v>76</v>
      </c>
      <c r="D453" t="s">
        <v>13</v>
      </c>
      <c r="E453" t="s">
        <v>23</v>
      </c>
      <c r="F453" s="1">
        <v>16</v>
      </c>
      <c r="G453" t="s">
        <v>801</v>
      </c>
      <c r="H453" t="s">
        <v>47</v>
      </c>
      <c r="I453" t="s">
        <v>26</v>
      </c>
      <c r="J453" t="s">
        <v>18</v>
      </c>
      <c r="K453" t="str">
        <f t="shared" si="56"/>
        <v>Road Damage</v>
      </c>
      <c r="L453" t="s">
        <v>882</v>
      </c>
      <c r="M453" t="str">
        <f t="shared" si="57"/>
        <v>Road damaged due to heavy rain</v>
      </c>
      <c r="N453">
        <v>1</v>
      </c>
      <c r="O453" t="s">
        <v>18</v>
      </c>
      <c r="P453">
        <f t="shared" si="58"/>
        <v>15</v>
      </c>
      <c r="Q453" t="str">
        <f t="shared" si="59"/>
        <v>Delayed</v>
      </c>
      <c r="R453" t="str">
        <f t="shared" si="60"/>
        <v>Off453</v>
      </c>
      <c r="S453">
        <v>10</v>
      </c>
      <c r="T453">
        <v>33</v>
      </c>
      <c r="U453">
        <v>32034</v>
      </c>
      <c r="V453">
        <v>30038</v>
      </c>
      <c r="W453" t="str">
        <f t="shared" si="61"/>
        <v>Yes</v>
      </c>
      <c r="X453" t="str">
        <f t="shared" si="62"/>
        <v>Level 1</v>
      </c>
      <c r="Y453" s="2">
        <f t="shared" si="63"/>
        <v>45969</v>
      </c>
    </row>
    <row r="454" spans="1:25" x14ac:dyDescent="0.25">
      <c r="A454" t="s">
        <v>809</v>
      </c>
      <c r="B454" t="s">
        <v>20</v>
      </c>
      <c r="C454" t="s">
        <v>39</v>
      </c>
      <c r="D454" t="s">
        <v>34</v>
      </c>
      <c r="E454" t="s">
        <v>42</v>
      </c>
      <c r="F454" s="1">
        <v>22</v>
      </c>
      <c r="G454" t="s">
        <v>810</v>
      </c>
      <c r="H454" t="s">
        <v>58</v>
      </c>
      <c r="I454" t="s">
        <v>17</v>
      </c>
      <c r="J454" t="s">
        <v>18</v>
      </c>
      <c r="K454" t="str">
        <f t="shared" si="56"/>
        <v>Garbage Collection</v>
      </c>
      <c r="L454" t="s">
        <v>883</v>
      </c>
      <c r="M454" t="str">
        <f t="shared" si="57"/>
        <v>Garbage not collected for 3 days</v>
      </c>
      <c r="N454">
        <v>1</v>
      </c>
      <c r="O454" t="s">
        <v>18</v>
      </c>
      <c r="P454">
        <f t="shared" si="58"/>
        <v>3</v>
      </c>
      <c r="Q454" t="str">
        <f t="shared" si="59"/>
        <v>Delayed</v>
      </c>
      <c r="R454" t="str">
        <f t="shared" si="60"/>
        <v>Off454</v>
      </c>
      <c r="S454">
        <v>12</v>
      </c>
      <c r="T454">
        <v>26</v>
      </c>
      <c r="U454">
        <v>44366</v>
      </c>
      <c r="V454">
        <v>43739</v>
      </c>
      <c r="W454" t="str">
        <f t="shared" si="61"/>
        <v>Yes</v>
      </c>
      <c r="X454" t="str">
        <f t="shared" si="62"/>
        <v>Level 3</v>
      </c>
      <c r="Y454" s="2">
        <f t="shared" si="63"/>
        <v>46014</v>
      </c>
    </row>
    <row r="455" spans="1:25" x14ac:dyDescent="0.25">
      <c r="A455" t="s">
        <v>811</v>
      </c>
      <c r="B455" t="s">
        <v>60</v>
      </c>
      <c r="C455" t="s">
        <v>33</v>
      </c>
      <c r="D455" t="s">
        <v>13</v>
      </c>
      <c r="E455" t="s">
        <v>30</v>
      </c>
      <c r="F455" s="1">
        <v>24</v>
      </c>
      <c r="G455" t="s">
        <v>812</v>
      </c>
      <c r="H455" t="s">
        <v>51</v>
      </c>
      <c r="I455" t="s">
        <v>65</v>
      </c>
      <c r="J455" t="s">
        <v>18</v>
      </c>
      <c r="K455" t="str">
        <f t="shared" si="56"/>
        <v>General Complaint</v>
      </c>
      <c r="L455" t="s">
        <v>884</v>
      </c>
      <c r="M455" t="str">
        <f t="shared" si="57"/>
        <v>General complaint reported</v>
      </c>
      <c r="N455">
        <v>5</v>
      </c>
      <c r="O455" t="s">
        <v>37</v>
      </c>
      <c r="P455">
        <f t="shared" si="58"/>
        <v>15</v>
      </c>
      <c r="Q455" t="str">
        <f t="shared" si="59"/>
        <v>Delayed</v>
      </c>
      <c r="R455" t="str">
        <f t="shared" si="60"/>
        <v>Off455</v>
      </c>
      <c r="S455">
        <v>9</v>
      </c>
      <c r="T455">
        <v>29</v>
      </c>
      <c r="U455">
        <v>17132</v>
      </c>
      <c r="V455">
        <v>15499</v>
      </c>
      <c r="W455" t="str">
        <f t="shared" si="61"/>
        <v>Yes</v>
      </c>
      <c r="X455" t="str">
        <f t="shared" si="62"/>
        <v>Level 1</v>
      </c>
      <c r="Y455" s="2">
        <f t="shared" si="63"/>
        <v>46155</v>
      </c>
    </row>
    <row r="456" spans="1:25" x14ac:dyDescent="0.25">
      <c r="A456" t="s">
        <v>813</v>
      </c>
      <c r="B456" t="s">
        <v>11</v>
      </c>
      <c r="C456" t="s">
        <v>84</v>
      </c>
      <c r="D456" t="s">
        <v>34</v>
      </c>
      <c r="E456" t="s">
        <v>42</v>
      </c>
      <c r="F456" s="1">
        <v>20</v>
      </c>
      <c r="G456" t="s">
        <v>814</v>
      </c>
      <c r="H456" t="s">
        <v>25</v>
      </c>
      <c r="I456" t="s">
        <v>65</v>
      </c>
      <c r="J456" t="s">
        <v>18</v>
      </c>
      <c r="K456" t="str">
        <f t="shared" si="56"/>
        <v>Water Leakage</v>
      </c>
      <c r="L456" t="s">
        <v>885</v>
      </c>
      <c r="M456" t="str">
        <f t="shared" si="57"/>
        <v>Water pipe leakage near school</v>
      </c>
      <c r="N456">
        <v>4</v>
      </c>
      <c r="O456" t="s">
        <v>37</v>
      </c>
      <c r="P456">
        <f t="shared" si="58"/>
        <v>3</v>
      </c>
      <c r="Q456" t="str">
        <f t="shared" si="59"/>
        <v>Delayed</v>
      </c>
      <c r="R456" t="str">
        <f t="shared" si="60"/>
        <v>Off456</v>
      </c>
      <c r="S456">
        <v>5</v>
      </c>
      <c r="T456">
        <v>23</v>
      </c>
      <c r="U456">
        <v>5012</v>
      </c>
      <c r="V456">
        <v>6284</v>
      </c>
      <c r="W456" t="str">
        <f t="shared" si="61"/>
        <v>Yes</v>
      </c>
      <c r="X456" t="str">
        <f t="shared" si="62"/>
        <v>Level 3</v>
      </c>
      <c r="Y456" s="2">
        <f t="shared" si="63"/>
        <v>45831</v>
      </c>
    </row>
    <row r="457" spans="1:25" x14ac:dyDescent="0.25">
      <c r="A457" t="s">
        <v>815</v>
      </c>
      <c r="B457" t="s">
        <v>28</v>
      </c>
      <c r="C457" t="s">
        <v>33</v>
      </c>
      <c r="D457" t="s">
        <v>34</v>
      </c>
      <c r="E457" t="s">
        <v>14</v>
      </c>
      <c r="F457" s="1">
        <v>23</v>
      </c>
      <c r="G457" t="s">
        <v>403</v>
      </c>
      <c r="H457" t="s">
        <v>40</v>
      </c>
      <c r="I457" t="s">
        <v>44</v>
      </c>
      <c r="J457" t="s">
        <v>18</v>
      </c>
      <c r="K457" t="str">
        <f t="shared" si="56"/>
        <v>Road Damage</v>
      </c>
      <c r="L457" t="s">
        <v>881</v>
      </c>
      <c r="M457" t="str">
        <f t="shared" si="57"/>
        <v>Road damaged due to heavy rain</v>
      </c>
      <c r="N457">
        <v>3</v>
      </c>
      <c r="O457" t="s">
        <v>37</v>
      </c>
      <c r="P457">
        <f t="shared" si="58"/>
        <v>3</v>
      </c>
      <c r="Q457" t="str">
        <f t="shared" si="59"/>
        <v>Delayed</v>
      </c>
      <c r="R457" t="str">
        <f t="shared" si="60"/>
        <v>Off457</v>
      </c>
      <c r="S457">
        <v>13</v>
      </c>
      <c r="T457">
        <v>45</v>
      </c>
      <c r="U457">
        <v>30386</v>
      </c>
      <c r="V457">
        <v>30913</v>
      </c>
      <c r="W457" t="str">
        <f t="shared" si="61"/>
        <v>Yes</v>
      </c>
      <c r="X457" t="str">
        <f t="shared" si="62"/>
        <v>Level 3</v>
      </c>
      <c r="Y457" s="2">
        <f t="shared" si="63"/>
        <v>46129</v>
      </c>
    </row>
    <row r="458" spans="1:25" x14ac:dyDescent="0.25">
      <c r="A458" t="s">
        <v>816</v>
      </c>
      <c r="B458" t="s">
        <v>11</v>
      </c>
      <c r="C458" t="s">
        <v>33</v>
      </c>
      <c r="D458" t="s">
        <v>34</v>
      </c>
      <c r="E458" t="s">
        <v>42</v>
      </c>
      <c r="F458" s="1">
        <v>22</v>
      </c>
      <c r="G458" t="s">
        <v>817</v>
      </c>
      <c r="H458" t="s">
        <v>58</v>
      </c>
      <c r="I458" t="s">
        <v>17</v>
      </c>
      <c r="J458" t="s">
        <v>18</v>
      </c>
      <c r="K458" t="str">
        <f t="shared" si="56"/>
        <v>Water Leakage</v>
      </c>
      <c r="L458" t="s">
        <v>882</v>
      </c>
      <c r="M458" t="str">
        <f t="shared" si="57"/>
        <v>Water pipe leakage near school</v>
      </c>
      <c r="N458">
        <v>4</v>
      </c>
      <c r="O458" t="s">
        <v>37</v>
      </c>
      <c r="P458">
        <f t="shared" si="58"/>
        <v>3</v>
      </c>
      <c r="Q458" t="str">
        <f t="shared" si="59"/>
        <v>Delayed</v>
      </c>
      <c r="R458" t="str">
        <f t="shared" si="60"/>
        <v>Off458</v>
      </c>
      <c r="S458">
        <v>8</v>
      </c>
      <c r="T458">
        <v>25</v>
      </c>
      <c r="U458">
        <v>26783</v>
      </c>
      <c r="V458">
        <v>26353</v>
      </c>
      <c r="W458" t="str">
        <f t="shared" si="61"/>
        <v>Yes</v>
      </c>
      <c r="X458" t="str">
        <f t="shared" si="62"/>
        <v>Level 3</v>
      </c>
      <c r="Y458" s="2">
        <f t="shared" si="63"/>
        <v>45917</v>
      </c>
    </row>
    <row r="459" spans="1:25" x14ac:dyDescent="0.25">
      <c r="A459" t="s">
        <v>818</v>
      </c>
      <c r="B459" t="s">
        <v>28</v>
      </c>
      <c r="C459" t="s">
        <v>84</v>
      </c>
      <c r="D459" t="s">
        <v>34</v>
      </c>
      <c r="E459" t="s">
        <v>23</v>
      </c>
      <c r="F459" s="1">
        <v>10</v>
      </c>
      <c r="G459" t="s">
        <v>664</v>
      </c>
      <c r="H459" t="s">
        <v>51</v>
      </c>
      <c r="I459" t="s">
        <v>26</v>
      </c>
      <c r="J459" t="s">
        <v>18</v>
      </c>
      <c r="K459" t="str">
        <f t="shared" si="56"/>
        <v>Road Damage</v>
      </c>
      <c r="L459" t="s">
        <v>883</v>
      </c>
      <c r="M459" t="str">
        <f t="shared" si="57"/>
        <v>Road damaged due to heavy rain</v>
      </c>
      <c r="N459">
        <v>3</v>
      </c>
      <c r="O459" t="s">
        <v>37</v>
      </c>
      <c r="P459">
        <f t="shared" si="58"/>
        <v>3</v>
      </c>
      <c r="Q459" t="str">
        <f t="shared" si="59"/>
        <v>Delayed</v>
      </c>
      <c r="R459" t="str">
        <f t="shared" si="60"/>
        <v>Off459</v>
      </c>
      <c r="S459">
        <v>5</v>
      </c>
      <c r="T459">
        <v>9</v>
      </c>
      <c r="U459">
        <v>35860</v>
      </c>
      <c r="V459">
        <v>37201</v>
      </c>
      <c r="W459" t="str">
        <f t="shared" si="61"/>
        <v>Yes</v>
      </c>
      <c r="X459" t="str">
        <f t="shared" si="62"/>
        <v>Level 3</v>
      </c>
      <c r="Y459" s="2">
        <f t="shared" si="63"/>
        <v>45961</v>
      </c>
    </row>
    <row r="460" spans="1:25" x14ac:dyDescent="0.25">
      <c r="A460" t="s">
        <v>819</v>
      </c>
      <c r="B460" t="s">
        <v>60</v>
      </c>
      <c r="C460" t="s">
        <v>21</v>
      </c>
      <c r="D460" t="s">
        <v>22</v>
      </c>
      <c r="E460" t="s">
        <v>30</v>
      </c>
      <c r="F460" s="1">
        <v>14</v>
      </c>
      <c r="G460" t="s">
        <v>101</v>
      </c>
      <c r="H460" t="s">
        <v>47</v>
      </c>
      <c r="I460" t="s">
        <v>36</v>
      </c>
      <c r="J460" t="s">
        <v>18</v>
      </c>
      <c r="K460" t="str">
        <f t="shared" si="56"/>
        <v>General Complaint</v>
      </c>
      <c r="L460" t="s">
        <v>884</v>
      </c>
      <c r="M460" t="str">
        <f t="shared" si="57"/>
        <v>General complaint reported</v>
      </c>
      <c r="N460">
        <v>3</v>
      </c>
      <c r="O460" t="s">
        <v>37</v>
      </c>
      <c r="P460">
        <f t="shared" si="58"/>
        <v>7</v>
      </c>
      <c r="Q460" t="str">
        <f t="shared" si="59"/>
        <v>Delayed</v>
      </c>
      <c r="R460" t="str">
        <f t="shared" si="60"/>
        <v>Off460</v>
      </c>
      <c r="S460">
        <v>11</v>
      </c>
      <c r="T460">
        <v>9</v>
      </c>
      <c r="U460">
        <v>23352</v>
      </c>
      <c r="V460">
        <v>23744</v>
      </c>
      <c r="W460" t="str">
        <f t="shared" si="61"/>
        <v>Yes</v>
      </c>
      <c r="X460" t="str">
        <f t="shared" si="62"/>
        <v>Level 2</v>
      </c>
      <c r="Y460" s="2">
        <f t="shared" si="63"/>
        <v>46060</v>
      </c>
    </row>
    <row r="461" spans="1:25" x14ac:dyDescent="0.25">
      <c r="A461" t="s">
        <v>820</v>
      </c>
      <c r="B461" t="s">
        <v>60</v>
      </c>
      <c r="C461" t="s">
        <v>56</v>
      </c>
      <c r="D461" t="s">
        <v>13</v>
      </c>
      <c r="E461" t="s">
        <v>14</v>
      </c>
      <c r="F461" s="1">
        <v>4</v>
      </c>
      <c r="G461" t="s">
        <v>821</v>
      </c>
      <c r="H461" t="s">
        <v>25</v>
      </c>
      <c r="I461" t="s">
        <v>65</v>
      </c>
      <c r="J461" t="s">
        <v>37</v>
      </c>
      <c r="K461" t="str">
        <f t="shared" si="56"/>
        <v>General Complaint</v>
      </c>
      <c r="L461" t="s">
        <v>885</v>
      </c>
      <c r="M461" t="str">
        <f t="shared" si="57"/>
        <v>General complaint reported</v>
      </c>
      <c r="N461">
        <v>2</v>
      </c>
      <c r="O461" t="s">
        <v>18</v>
      </c>
      <c r="P461">
        <f t="shared" si="58"/>
        <v>15</v>
      </c>
      <c r="Q461" t="str">
        <f t="shared" si="59"/>
        <v>Within SLA</v>
      </c>
      <c r="R461" t="str">
        <f t="shared" si="60"/>
        <v>Off461</v>
      </c>
      <c r="S461">
        <v>2</v>
      </c>
      <c r="T461">
        <v>15</v>
      </c>
      <c r="U461">
        <v>7362</v>
      </c>
      <c r="V461">
        <v>7859</v>
      </c>
      <c r="W461" t="str">
        <f t="shared" si="61"/>
        <v>No</v>
      </c>
      <c r="X461" t="str">
        <f t="shared" si="62"/>
        <v>None</v>
      </c>
      <c r="Y461" s="2">
        <f t="shared" si="63"/>
        <v>45736</v>
      </c>
    </row>
    <row r="462" spans="1:25" x14ac:dyDescent="0.25">
      <c r="A462" t="s">
        <v>822</v>
      </c>
      <c r="B462" t="s">
        <v>11</v>
      </c>
      <c r="C462" t="s">
        <v>76</v>
      </c>
      <c r="D462" t="s">
        <v>34</v>
      </c>
      <c r="E462" t="s">
        <v>42</v>
      </c>
      <c r="F462" s="1">
        <v>6</v>
      </c>
      <c r="G462" t="s">
        <v>97</v>
      </c>
      <c r="H462" t="s">
        <v>58</v>
      </c>
      <c r="I462" t="s">
        <v>17</v>
      </c>
      <c r="J462" t="s">
        <v>37</v>
      </c>
      <c r="K462" t="str">
        <f t="shared" si="56"/>
        <v>Water Leakage</v>
      </c>
      <c r="L462" t="s">
        <v>881</v>
      </c>
      <c r="M462" t="str">
        <f t="shared" si="57"/>
        <v>Water pipe leakage near school</v>
      </c>
      <c r="N462">
        <v>2</v>
      </c>
      <c r="O462" t="s">
        <v>18</v>
      </c>
      <c r="P462">
        <f t="shared" si="58"/>
        <v>3</v>
      </c>
      <c r="Q462" t="str">
        <f t="shared" si="59"/>
        <v>Delayed</v>
      </c>
      <c r="R462" t="str">
        <f t="shared" si="60"/>
        <v>Off462</v>
      </c>
      <c r="S462">
        <v>12</v>
      </c>
      <c r="T462">
        <v>39</v>
      </c>
      <c r="U462">
        <v>46786</v>
      </c>
      <c r="V462">
        <v>48483</v>
      </c>
      <c r="W462" t="str">
        <f t="shared" si="61"/>
        <v>Yes</v>
      </c>
      <c r="X462" t="str">
        <f t="shared" si="62"/>
        <v>Level 3</v>
      </c>
      <c r="Y462" s="2">
        <f t="shared" si="63"/>
        <v>46072</v>
      </c>
    </row>
    <row r="463" spans="1:25" x14ac:dyDescent="0.25">
      <c r="A463" t="s">
        <v>823</v>
      </c>
      <c r="B463" t="s">
        <v>11</v>
      </c>
      <c r="C463" t="s">
        <v>29</v>
      </c>
      <c r="D463" t="s">
        <v>22</v>
      </c>
      <c r="E463" t="s">
        <v>30</v>
      </c>
      <c r="F463" s="1">
        <v>6</v>
      </c>
      <c r="G463" t="s">
        <v>511</v>
      </c>
      <c r="H463" t="s">
        <v>58</v>
      </c>
      <c r="I463" t="s">
        <v>17</v>
      </c>
      <c r="J463" t="s">
        <v>37</v>
      </c>
      <c r="K463" t="str">
        <f t="shared" si="56"/>
        <v>Water Leakage</v>
      </c>
      <c r="L463" t="s">
        <v>882</v>
      </c>
      <c r="M463" t="str">
        <f t="shared" si="57"/>
        <v>Water pipe leakage near school</v>
      </c>
      <c r="N463">
        <v>2</v>
      </c>
      <c r="O463" t="s">
        <v>18</v>
      </c>
      <c r="P463">
        <f t="shared" si="58"/>
        <v>7</v>
      </c>
      <c r="Q463" t="str">
        <f t="shared" si="59"/>
        <v>Within SLA</v>
      </c>
      <c r="R463" t="str">
        <f t="shared" si="60"/>
        <v>Off463</v>
      </c>
      <c r="S463">
        <v>7</v>
      </c>
      <c r="T463">
        <v>38</v>
      </c>
      <c r="U463">
        <v>7353</v>
      </c>
      <c r="V463">
        <v>7537</v>
      </c>
      <c r="W463" t="str">
        <f t="shared" si="61"/>
        <v>No</v>
      </c>
      <c r="X463" t="str">
        <f t="shared" si="62"/>
        <v>None</v>
      </c>
      <c r="Y463" s="2">
        <f t="shared" si="63"/>
        <v>46120</v>
      </c>
    </row>
    <row r="464" spans="1:25" x14ac:dyDescent="0.25">
      <c r="A464" t="s">
        <v>824</v>
      </c>
      <c r="B464" t="s">
        <v>53</v>
      </c>
      <c r="C464" t="s">
        <v>61</v>
      </c>
      <c r="D464" t="s">
        <v>13</v>
      </c>
      <c r="E464" t="s">
        <v>30</v>
      </c>
      <c r="F464" s="1">
        <v>36</v>
      </c>
      <c r="G464" t="s">
        <v>825</v>
      </c>
      <c r="H464" t="s">
        <v>40</v>
      </c>
      <c r="I464" t="s">
        <v>17</v>
      </c>
      <c r="J464" t="s">
        <v>18</v>
      </c>
      <c r="K464" t="str">
        <f t="shared" si="56"/>
        <v>Public Transport Delay</v>
      </c>
      <c r="L464" t="s">
        <v>883</v>
      </c>
      <c r="M464" t="str">
        <f t="shared" si="57"/>
        <v>Bus arrival delay reported</v>
      </c>
      <c r="N464">
        <v>5</v>
      </c>
      <c r="O464" t="s">
        <v>37</v>
      </c>
      <c r="P464">
        <f t="shared" si="58"/>
        <v>15</v>
      </c>
      <c r="Q464" t="str">
        <f t="shared" si="59"/>
        <v>Delayed</v>
      </c>
      <c r="R464" t="str">
        <f t="shared" si="60"/>
        <v>Off464</v>
      </c>
      <c r="S464">
        <v>12</v>
      </c>
      <c r="T464">
        <v>35</v>
      </c>
      <c r="U464">
        <v>49163</v>
      </c>
      <c r="V464">
        <v>47769</v>
      </c>
      <c r="W464" t="str">
        <f t="shared" si="61"/>
        <v>Yes</v>
      </c>
      <c r="X464" t="str">
        <f t="shared" si="62"/>
        <v>Level 1</v>
      </c>
      <c r="Y464" s="2">
        <f t="shared" si="63"/>
        <v>45892</v>
      </c>
    </row>
    <row r="465" spans="1:25" x14ac:dyDescent="0.25">
      <c r="A465" t="s">
        <v>826</v>
      </c>
      <c r="B465" t="s">
        <v>69</v>
      </c>
      <c r="C465" t="s">
        <v>76</v>
      </c>
      <c r="D465" t="s">
        <v>34</v>
      </c>
      <c r="E465" t="s">
        <v>23</v>
      </c>
      <c r="F465" s="1">
        <v>3</v>
      </c>
      <c r="G465" t="s">
        <v>178</v>
      </c>
      <c r="H465" t="s">
        <v>25</v>
      </c>
      <c r="I465" t="s">
        <v>17</v>
      </c>
      <c r="J465" t="s">
        <v>37</v>
      </c>
      <c r="K465" t="str">
        <f t="shared" si="56"/>
        <v>General Complaint</v>
      </c>
      <c r="L465" t="s">
        <v>884</v>
      </c>
      <c r="M465" t="str">
        <f t="shared" si="57"/>
        <v>General complaint reported</v>
      </c>
      <c r="N465">
        <v>4</v>
      </c>
      <c r="O465" t="s">
        <v>37</v>
      </c>
      <c r="P465">
        <f t="shared" si="58"/>
        <v>3</v>
      </c>
      <c r="Q465" t="str">
        <f t="shared" si="59"/>
        <v>Within SLA</v>
      </c>
      <c r="R465" t="str">
        <f t="shared" si="60"/>
        <v>Off465</v>
      </c>
      <c r="S465">
        <v>10</v>
      </c>
      <c r="T465">
        <v>36</v>
      </c>
      <c r="U465">
        <v>13563</v>
      </c>
      <c r="V465">
        <v>12689</v>
      </c>
      <c r="W465" t="str">
        <f t="shared" si="61"/>
        <v>No</v>
      </c>
      <c r="X465" t="str">
        <f t="shared" si="62"/>
        <v>None</v>
      </c>
      <c r="Y465" s="2">
        <f t="shared" si="63"/>
        <v>45917</v>
      </c>
    </row>
    <row r="466" spans="1:25" x14ac:dyDescent="0.25">
      <c r="A466" t="s">
        <v>827</v>
      </c>
      <c r="B466" t="s">
        <v>69</v>
      </c>
      <c r="C466" t="s">
        <v>49</v>
      </c>
      <c r="D466" t="s">
        <v>22</v>
      </c>
      <c r="E466" t="s">
        <v>42</v>
      </c>
      <c r="F466" s="1">
        <v>18</v>
      </c>
      <c r="G466" t="s">
        <v>567</v>
      </c>
      <c r="H466" t="s">
        <v>16</v>
      </c>
      <c r="I466" t="s">
        <v>17</v>
      </c>
      <c r="J466" t="s">
        <v>18</v>
      </c>
      <c r="K466" t="str">
        <f t="shared" si="56"/>
        <v>General Complaint</v>
      </c>
      <c r="L466" t="s">
        <v>885</v>
      </c>
      <c r="M466" t="str">
        <f t="shared" si="57"/>
        <v>General complaint reported</v>
      </c>
      <c r="N466">
        <v>3</v>
      </c>
      <c r="O466" t="s">
        <v>37</v>
      </c>
      <c r="P466">
        <f t="shared" si="58"/>
        <v>7</v>
      </c>
      <c r="Q466" t="str">
        <f t="shared" si="59"/>
        <v>Delayed</v>
      </c>
      <c r="R466" t="str">
        <f t="shared" si="60"/>
        <v>Off466</v>
      </c>
      <c r="S466">
        <v>13</v>
      </c>
      <c r="T466">
        <v>40</v>
      </c>
      <c r="U466">
        <v>13179</v>
      </c>
      <c r="V466">
        <v>15039</v>
      </c>
      <c r="W466" t="str">
        <f t="shared" si="61"/>
        <v>Yes</v>
      </c>
      <c r="X466" t="str">
        <f t="shared" si="62"/>
        <v>Level 2</v>
      </c>
      <c r="Y466" s="2">
        <f t="shared" si="63"/>
        <v>45922</v>
      </c>
    </row>
    <row r="467" spans="1:25" x14ac:dyDescent="0.25">
      <c r="A467" t="s">
        <v>828</v>
      </c>
      <c r="B467" t="s">
        <v>11</v>
      </c>
      <c r="C467" t="s">
        <v>29</v>
      </c>
      <c r="D467" t="s">
        <v>34</v>
      </c>
      <c r="E467" t="s">
        <v>14</v>
      </c>
      <c r="F467" s="1">
        <v>40</v>
      </c>
      <c r="G467" t="s">
        <v>829</v>
      </c>
      <c r="H467" t="s">
        <v>16</v>
      </c>
      <c r="I467" t="s">
        <v>26</v>
      </c>
      <c r="J467" t="s">
        <v>18</v>
      </c>
      <c r="K467" t="str">
        <f t="shared" si="56"/>
        <v>Water Leakage</v>
      </c>
      <c r="L467" t="s">
        <v>881</v>
      </c>
      <c r="M467" t="str">
        <f t="shared" si="57"/>
        <v>Water pipe leakage near school</v>
      </c>
      <c r="N467">
        <v>4</v>
      </c>
      <c r="O467" t="s">
        <v>37</v>
      </c>
      <c r="P467">
        <f t="shared" si="58"/>
        <v>3</v>
      </c>
      <c r="Q467" t="str">
        <f t="shared" si="59"/>
        <v>Delayed</v>
      </c>
      <c r="R467" t="str">
        <f t="shared" si="60"/>
        <v>Off467</v>
      </c>
      <c r="S467">
        <v>6</v>
      </c>
      <c r="T467">
        <v>26</v>
      </c>
      <c r="U467">
        <v>30551</v>
      </c>
      <c r="V467">
        <v>30831</v>
      </c>
      <c r="W467" t="str">
        <f t="shared" si="61"/>
        <v>Yes</v>
      </c>
      <c r="X467" t="str">
        <f t="shared" si="62"/>
        <v>Level 3</v>
      </c>
      <c r="Y467" s="2">
        <f t="shared" si="63"/>
        <v>46168</v>
      </c>
    </row>
    <row r="468" spans="1:25" x14ac:dyDescent="0.25">
      <c r="A468" t="s">
        <v>830</v>
      </c>
      <c r="B468" t="s">
        <v>69</v>
      </c>
      <c r="C468" t="s">
        <v>84</v>
      </c>
      <c r="D468" t="s">
        <v>22</v>
      </c>
      <c r="E468" t="s">
        <v>23</v>
      </c>
      <c r="F468" s="1">
        <v>1</v>
      </c>
      <c r="G468" t="s">
        <v>799</v>
      </c>
      <c r="H468" t="s">
        <v>47</v>
      </c>
      <c r="I468" t="s">
        <v>36</v>
      </c>
      <c r="J468" t="s">
        <v>37</v>
      </c>
      <c r="K468" t="str">
        <f t="shared" si="56"/>
        <v>General Complaint</v>
      </c>
      <c r="L468" t="s">
        <v>882</v>
      </c>
      <c r="M468" t="str">
        <f t="shared" si="57"/>
        <v>General complaint reported</v>
      </c>
      <c r="N468">
        <v>2</v>
      </c>
      <c r="O468" t="s">
        <v>18</v>
      </c>
      <c r="P468">
        <f t="shared" si="58"/>
        <v>7</v>
      </c>
      <c r="Q468" t="str">
        <f t="shared" si="59"/>
        <v>Within SLA</v>
      </c>
      <c r="R468" t="str">
        <f t="shared" si="60"/>
        <v>Off468</v>
      </c>
      <c r="S468">
        <v>13</v>
      </c>
      <c r="T468">
        <v>37</v>
      </c>
      <c r="U468">
        <v>6378</v>
      </c>
      <c r="V468">
        <v>6073</v>
      </c>
      <c r="W468" t="str">
        <f t="shared" si="61"/>
        <v>No</v>
      </c>
      <c r="X468" t="str">
        <f t="shared" si="62"/>
        <v>None</v>
      </c>
      <c r="Y468" s="2">
        <f t="shared" si="63"/>
        <v>45998</v>
      </c>
    </row>
    <row r="469" spans="1:25" x14ac:dyDescent="0.25">
      <c r="A469" t="s">
        <v>831</v>
      </c>
      <c r="B469" t="s">
        <v>11</v>
      </c>
      <c r="C469" t="s">
        <v>61</v>
      </c>
      <c r="D469" t="s">
        <v>13</v>
      </c>
      <c r="E469" t="s">
        <v>30</v>
      </c>
      <c r="F469" s="1">
        <v>7</v>
      </c>
      <c r="G469" t="s">
        <v>832</v>
      </c>
      <c r="H469" t="s">
        <v>58</v>
      </c>
      <c r="I469" t="s">
        <v>17</v>
      </c>
      <c r="J469" t="s">
        <v>37</v>
      </c>
      <c r="K469" t="str">
        <f t="shared" si="56"/>
        <v>Water Leakage</v>
      </c>
      <c r="L469" t="s">
        <v>883</v>
      </c>
      <c r="M469" t="str">
        <f t="shared" si="57"/>
        <v>Water pipe leakage near school</v>
      </c>
      <c r="N469">
        <v>5</v>
      </c>
      <c r="O469" t="s">
        <v>37</v>
      </c>
      <c r="P469">
        <f t="shared" si="58"/>
        <v>15</v>
      </c>
      <c r="Q469" t="str">
        <f t="shared" si="59"/>
        <v>Within SLA</v>
      </c>
      <c r="R469" t="str">
        <f t="shared" si="60"/>
        <v>Off469</v>
      </c>
      <c r="S469">
        <v>10</v>
      </c>
      <c r="T469">
        <v>24</v>
      </c>
      <c r="U469">
        <v>7208</v>
      </c>
      <c r="V469">
        <v>7609</v>
      </c>
      <c r="W469" t="str">
        <f t="shared" si="61"/>
        <v>No</v>
      </c>
      <c r="X469" t="str">
        <f t="shared" si="62"/>
        <v>None</v>
      </c>
      <c r="Y469" s="2">
        <f t="shared" si="63"/>
        <v>45687</v>
      </c>
    </row>
    <row r="470" spans="1:25" x14ac:dyDescent="0.25">
      <c r="A470" t="s">
        <v>833</v>
      </c>
      <c r="B470" t="s">
        <v>28</v>
      </c>
      <c r="C470" t="s">
        <v>76</v>
      </c>
      <c r="D470" t="s">
        <v>22</v>
      </c>
      <c r="E470" t="s">
        <v>14</v>
      </c>
      <c r="F470" s="1">
        <v>30</v>
      </c>
      <c r="G470" t="s">
        <v>834</v>
      </c>
      <c r="H470" t="s">
        <v>25</v>
      </c>
      <c r="I470" t="s">
        <v>36</v>
      </c>
      <c r="J470" t="s">
        <v>18</v>
      </c>
      <c r="K470" t="str">
        <f t="shared" si="56"/>
        <v>Road Damage</v>
      </c>
      <c r="L470" t="s">
        <v>884</v>
      </c>
      <c r="M470" t="str">
        <f t="shared" si="57"/>
        <v>Road damaged due to heavy rain</v>
      </c>
      <c r="N470">
        <v>2</v>
      </c>
      <c r="O470" t="s">
        <v>18</v>
      </c>
      <c r="P470">
        <f t="shared" si="58"/>
        <v>7</v>
      </c>
      <c r="Q470" t="str">
        <f t="shared" si="59"/>
        <v>Delayed</v>
      </c>
      <c r="R470" t="str">
        <f t="shared" si="60"/>
        <v>Off470</v>
      </c>
      <c r="S470">
        <v>13</v>
      </c>
      <c r="T470">
        <v>49</v>
      </c>
      <c r="U470">
        <v>38936</v>
      </c>
      <c r="V470">
        <v>38703</v>
      </c>
      <c r="W470" t="str">
        <f t="shared" si="61"/>
        <v>Yes</v>
      </c>
      <c r="X470" t="str">
        <f t="shared" si="62"/>
        <v>Level 2</v>
      </c>
      <c r="Y470" s="2">
        <f t="shared" si="63"/>
        <v>46217</v>
      </c>
    </row>
    <row r="471" spans="1:25" x14ac:dyDescent="0.25">
      <c r="A471" t="s">
        <v>835</v>
      </c>
      <c r="B471" t="s">
        <v>11</v>
      </c>
      <c r="C471" t="s">
        <v>21</v>
      </c>
      <c r="D471" t="s">
        <v>13</v>
      </c>
      <c r="E471" t="s">
        <v>14</v>
      </c>
      <c r="F471" s="1">
        <v>23</v>
      </c>
      <c r="G471" t="s">
        <v>303</v>
      </c>
      <c r="H471" t="s">
        <v>40</v>
      </c>
      <c r="I471" t="s">
        <v>44</v>
      </c>
      <c r="J471" t="s">
        <v>18</v>
      </c>
      <c r="K471" t="str">
        <f t="shared" si="56"/>
        <v>Water Leakage</v>
      </c>
      <c r="L471" t="s">
        <v>885</v>
      </c>
      <c r="M471" t="str">
        <f t="shared" si="57"/>
        <v>Water pipe leakage near school</v>
      </c>
      <c r="N471">
        <v>5</v>
      </c>
      <c r="O471" t="s">
        <v>37</v>
      </c>
      <c r="P471">
        <f t="shared" si="58"/>
        <v>15</v>
      </c>
      <c r="Q471" t="str">
        <f t="shared" si="59"/>
        <v>Delayed</v>
      </c>
      <c r="R471" t="str">
        <f t="shared" si="60"/>
        <v>Off471</v>
      </c>
      <c r="S471">
        <v>13</v>
      </c>
      <c r="T471">
        <v>42</v>
      </c>
      <c r="U471">
        <v>6496</v>
      </c>
      <c r="V471">
        <v>7094</v>
      </c>
      <c r="W471" t="str">
        <f t="shared" si="61"/>
        <v>Yes</v>
      </c>
      <c r="X471" t="str">
        <f t="shared" si="62"/>
        <v>Level 1</v>
      </c>
      <c r="Y471" s="2">
        <f t="shared" si="63"/>
        <v>45970</v>
      </c>
    </row>
    <row r="472" spans="1:25" x14ac:dyDescent="0.25">
      <c r="A472" t="s">
        <v>836</v>
      </c>
      <c r="B472" t="s">
        <v>69</v>
      </c>
      <c r="C472" t="s">
        <v>21</v>
      </c>
      <c r="D472" t="s">
        <v>22</v>
      </c>
      <c r="E472" t="s">
        <v>23</v>
      </c>
      <c r="F472" s="1">
        <v>14</v>
      </c>
      <c r="G472" t="s">
        <v>837</v>
      </c>
      <c r="H472" t="s">
        <v>58</v>
      </c>
      <c r="I472" t="s">
        <v>65</v>
      </c>
      <c r="J472" t="s">
        <v>18</v>
      </c>
      <c r="K472" t="str">
        <f t="shared" si="56"/>
        <v>General Complaint</v>
      </c>
      <c r="L472" t="s">
        <v>881</v>
      </c>
      <c r="M472" t="str">
        <f t="shared" si="57"/>
        <v>General complaint reported</v>
      </c>
      <c r="N472">
        <v>1</v>
      </c>
      <c r="O472" t="s">
        <v>18</v>
      </c>
      <c r="P472">
        <f t="shared" si="58"/>
        <v>7</v>
      </c>
      <c r="Q472" t="str">
        <f t="shared" si="59"/>
        <v>Delayed</v>
      </c>
      <c r="R472" t="str">
        <f t="shared" si="60"/>
        <v>Off472</v>
      </c>
      <c r="S472">
        <v>11</v>
      </c>
      <c r="T472">
        <v>30</v>
      </c>
      <c r="U472">
        <v>7018</v>
      </c>
      <c r="V472">
        <v>6816</v>
      </c>
      <c r="W472" t="str">
        <f t="shared" si="61"/>
        <v>Yes</v>
      </c>
      <c r="X472" t="str">
        <f t="shared" si="62"/>
        <v>Level 2</v>
      </c>
      <c r="Y472" s="2">
        <f t="shared" si="63"/>
        <v>45873</v>
      </c>
    </row>
    <row r="473" spans="1:25" x14ac:dyDescent="0.25">
      <c r="A473" t="s">
        <v>838</v>
      </c>
      <c r="B473" t="s">
        <v>69</v>
      </c>
      <c r="C473" t="s">
        <v>33</v>
      </c>
      <c r="D473" t="s">
        <v>34</v>
      </c>
      <c r="E473" t="s">
        <v>14</v>
      </c>
      <c r="F473" s="1">
        <v>21</v>
      </c>
      <c r="G473" t="s">
        <v>839</v>
      </c>
      <c r="H473" t="s">
        <v>51</v>
      </c>
      <c r="I473" t="s">
        <v>65</v>
      </c>
      <c r="J473" t="s">
        <v>18</v>
      </c>
      <c r="K473" t="str">
        <f t="shared" si="56"/>
        <v>General Complaint</v>
      </c>
      <c r="L473" t="s">
        <v>882</v>
      </c>
      <c r="M473" t="str">
        <f t="shared" si="57"/>
        <v>General complaint reported</v>
      </c>
      <c r="N473">
        <v>1</v>
      </c>
      <c r="O473" t="s">
        <v>18</v>
      </c>
      <c r="P473">
        <f t="shared" si="58"/>
        <v>3</v>
      </c>
      <c r="Q473" t="str">
        <f t="shared" si="59"/>
        <v>Delayed</v>
      </c>
      <c r="R473" t="str">
        <f t="shared" si="60"/>
        <v>Off473</v>
      </c>
      <c r="S473">
        <v>14</v>
      </c>
      <c r="T473">
        <v>23</v>
      </c>
      <c r="U473">
        <v>23115</v>
      </c>
      <c r="V473">
        <v>23557</v>
      </c>
      <c r="W473" t="str">
        <f t="shared" si="61"/>
        <v>Yes</v>
      </c>
      <c r="X473" t="str">
        <f t="shared" si="62"/>
        <v>Level 3</v>
      </c>
      <c r="Y473" s="2">
        <f t="shared" si="63"/>
        <v>45813</v>
      </c>
    </row>
    <row r="474" spans="1:25" x14ac:dyDescent="0.25">
      <c r="A474" t="s">
        <v>840</v>
      </c>
      <c r="B474" t="s">
        <v>60</v>
      </c>
      <c r="C474" t="s">
        <v>76</v>
      </c>
      <c r="D474" t="s">
        <v>34</v>
      </c>
      <c r="E474" t="s">
        <v>23</v>
      </c>
      <c r="F474" s="1">
        <v>21</v>
      </c>
      <c r="G474" t="s">
        <v>626</v>
      </c>
      <c r="H474" t="s">
        <v>47</v>
      </c>
      <c r="I474" t="s">
        <v>17</v>
      </c>
      <c r="J474" t="s">
        <v>18</v>
      </c>
      <c r="K474" t="str">
        <f t="shared" si="56"/>
        <v>General Complaint</v>
      </c>
      <c r="L474" t="s">
        <v>883</v>
      </c>
      <c r="M474" t="str">
        <f t="shared" si="57"/>
        <v>General complaint reported</v>
      </c>
      <c r="N474">
        <v>1</v>
      </c>
      <c r="O474" t="s">
        <v>18</v>
      </c>
      <c r="P474">
        <f t="shared" si="58"/>
        <v>3</v>
      </c>
      <c r="Q474" t="str">
        <f t="shared" si="59"/>
        <v>Delayed</v>
      </c>
      <c r="R474" t="str">
        <f t="shared" si="60"/>
        <v>Off474</v>
      </c>
      <c r="S474">
        <v>7</v>
      </c>
      <c r="T474">
        <v>9</v>
      </c>
      <c r="U474">
        <v>28967</v>
      </c>
      <c r="V474">
        <v>30276</v>
      </c>
      <c r="W474" t="str">
        <f t="shared" si="61"/>
        <v>Yes</v>
      </c>
      <c r="X474" t="str">
        <f t="shared" si="62"/>
        <v>Level 3</v>
      </c>
      <c r="Y474" s="2">
        <f t="shared" si="63"/>
        <v>45859</v>
      </c>
    </row>
    <row r="475" spans="1:25" x14ac:dyDescent="0.25">
      <c r="A475" t="s">
        <v>841</v>
      </c>
      <c r="B475" t="s">
        <v>11</v>
      </c>
      <c r="C475" t="s">
        <v>49</v>
      </c>
      <c r="D475" t="s">
        <v>13</v>
      </c>
      <c r="E475" t="s">
        <v>30</v>
      </c>
      <c r="F475" s="1">
        <v>31</v>
      </c>
      <c r="G475" t="s">
        <v>842</v>
      </c>
      <c r="H475" t="s">
        <v>58</v>
      </c>
      <c r="I475" t="s">
        <v>26</v>
      </c>
      <c r="J475" t="s">
        <v>18</v>
      </c>
      <c r="K475" t="str">
        <f t="shared" si="56"/>
        <v>Water Leakage</v>
      </c>
      <c r="L475" t="s">
        <v>884</v>
      </c>
      <c r="M475" t="str">
        <f t="shared" si="57"/>
        <v>Water pipe leakage near school</v>
      </c>
      <c r="N475">
        <v>4</v>
      </c>
      <c r="O475" t="s">
        <v>37</v>
      </c>
      <c r="P475">
        <f t="shared" si="58"/>
        <v>15</v>
      </c>
      <c r="Q475" t="str">
        <f t="shared" si="59"/>
        <v>Delayed</v>
      </c>
      <c r="R475" t="str">
        <f t="shared" si="60"/>
        <v>Off475</v>
      </c>
      <c r="S475">
        <v>15</v>
      </c>
      <c r="T475">
        <v>43</v>
      </c>
      <c r="U475">
        <v>2457</v>
      </c>
      <c r="V475">
        <v>2855</v>
      </c>
      <c r="W475" t="str">
        <f t="shared" si="61"/>
        <v>Yes</v>
      </c>
      <c r="X475" t="str">
        <f t="shared" si="62"/>
        <v>Level 1</v>
      </c>
      <c r="Y475" s="2">
        <f t="shared" si="63"/>
        <v>46220</v>
      </c>
    </row>
    <row r="476" spans="1:25" x14ac:dyDescent="0.25">
      <c r="A476" t="s">
        <v>843</v>
      </c>
      <c r="B476" t="s">
        <v>11</v>
      </c>
      <c r="C476" t="s">
        <v>76</v>
      </c>
      <c r="D476" t="s">
        <v>22</v>
      </c>
      <c r="E476" t="s">
        <v>30</v>
      </c>
      <c r="F476" s="1">
        <v>40</v>
      </c>
      <c r="G476" t="s">
        <v>844</v>
      </c>
      <c r="H476" t="s">
        <v>40</v>
      </c>
      <c r="I476" t="s">
        <v>26</v>
      </c>
      <c r="J476" t="s">
        <v>18</v>
      </c>
      <c r="K476" t="str">
        <f t="shared" si="56"/>
        <v>Water Leakage</v>
      </c>
      <c r="L476" t="s">
        <v>885</v>
      </c>
      <c r="M476" t="str">
        <f t="shared" si="57"/>
        <v>Water pipe leakage near school</v>
      </c>
      <c r="N476">
        <v>4</v>
      </c>
      <c r="O476" t="s">
        <v>37</v>
      </c>
      <c r="P476">
        <f t="shared" si="58"/>
        <v>7</v>
      </c>
      <c r="Q476" t="str">
        <f t="shared" si="59"/>
        <v>Delayed</v>
      </c>
      <c r="R476" t="str">
        <f t="shared" si="60"/>
        <v>Off476</v>
      </c>
      <c r="S476">
        <v>3</v>
      </c>
      <c r="T476">
        <v>5</v>
      </c>
      <c r="U476">
        <v>18458</v>
      </c>
      <c r="V476">
        <v>17376</v>
      </c>
      <c r="W476" t="str">
        <f t="shared" si="61"/>
        <v>Yes</v>
      </c>
      <c r="X476" t="str">
        <f t="shared" si="62"/>
        <v>Level 2</v>
      </c>
      <c r="Y476" s="2">
        <f t="shared" si="63"/>
        <v>46114</v>
      </c>
    </row>
    <row r="477" spans="1:25" x14ac:dyDescent="0.25">
      <c r="A477" t="s">
        <v>845</v>
      </c>
      <c r="B477" t="s">
        <v>11</v>
      </c>
      <c r="C477" t="s">
        <v>33</v>
      </c>
      <c r="D477" t="s">
        <v>13</v>
      </c>
      <c r="E477" t="s">
        <v>14</v>
      </c>
      <c r="F477" s="1">
        <v>41</v>
      </c>
      <c r="G477" t="s">
        <v>343</v>
      </c>
      <c r="H477" t="s">
        <v>51</v>
      </c>
      <c r="I477" t="s">
        <v>36</v>
      </c>
      <c r="J477" t="s">
        <v>18</v>
      </c>
      <c r="K477" t="str">
        <f t="shared" si="56"/>
        <v>Water Leakage</v>
      </c>
      <c r="L477" t="s">
        <v>881</v>
      </c>
      <c r="M477" t="str">
        <f t="shared" si="57"/>
        <v>Water pipe leakage near school</v>
      </c>
      <c r="N477">
        <v>5</v>
      </c>
      <c r="O477" t="s">
        <v>37</v>
      </c>
      <c r="P477">
        <f t="shared" si="58"/>
        <v>15</v>
      </c>
      <c r="Q477" t="str">
        <f t="shared" si="59"/>
        <v>Delayed</v>
      </c>
      <c r="R477" t="str">
        <f t="shared" si="60"/>
        <v>Off477</v>
      </c>
      <c r="S477">
        <v>11</v>
      </c>
      <c r="T477">
        <v>49</v>
      </c>
      <c r="U477">
        <v>45995</v>
      </c>
      <c r="V477">
        <v>45834</v>
      </c>
      <c r="W477" t="str">
        <f t="shared" si="61"/>
        <v>Yes</v>
      </c>
      <c r="X477" t="str">
        <f t="shared" si="62"/>
        <v>Level 1</v>
      </c>
      <c r="Y477" s="2">
        <f t="shared" si="63"/>
        <v>45714</v>
      </c>
    </row>
    <row r="478" spans="1:25" x14ac:dyDescent="0.25">
      <c r="A478" t="s">
        <v>846</v>
      </c>
      <c r="B478" t="s">
        <v>28</v>
      </c>
      <c r="C478" t="s">
        <v>49</v>
      </c>
      <c r="D478" t="s">
        <v>34</v>
      </c>
      <c r="E478" t="s">
        <v>42</v>
      </c>
      <c r="F478" s="1">
        <v>13</v>
      </c>
      <c r="G478" t="s">
        <v>814</v>
      </c>
      <c r="H478" t="s">
        <v>51</v>
      </c>
      <c r="I478" t="s">
        <v>44</v>
      </c>
      <c r="J478" t="s">
        <v>18</v>
      </c>
      <c r="K478" t="str">
        <f t="shared" si="56"/>
        <v>Road Damage</v>
      </c>
      <c r="L478" t="s">
        <v>882</v>
      </c>
      <c r="M478" t="str">
        <f t="shared" si="57"/>
        <v>Road damaged due to heavy rain</v>
      </c>
      <c r="N478">
        <v>1</v>
      </c>
      <c r="O478" t="s">
        <v>18</v>
      </c>
      <c r="P478">
        <f t="shared" si="58"/>
        <v>3</v>
      </c>
      <c r="Q478" t="str">
        <f t="shared" si="59"/>
        <v>Delayed</v>
      </c>
      <c r="R478" t="str">
        <f t="shared" si="60"/>
        <v>Off478</v>
      </c>
      <c r="S478">
        <v>4</v>
      </c>
      <c r="T478">
        <v>24</v>
      </c>
      <c r="U478">
        <v>15085</v>
      </c>
      <c r="V478">
        <v>15248</v>
      </c>
      <c r="W478" t="str">
        <f t="shared" si="61"/>
        <v>Yes</v>
      </c>
      <c r="X478" t="str">
        <f t="shared" si="62"/>
        <v>Level 3</v>
      </c>
      <c r="Y478" s="2">
        <f t="shared" si="63"/>
        <v>45824</v>
      </c>
    </row>
    <row r="479" spans="1:25" x14ac:dyDescent="0.25">
      <c r="A479" t="s">
        <v>847</v>
      </c>
      <c r="B479" t="s">
        <v>20</v>
      </c>
      <c r="C479" t="s">
        <v>12</v>
      </c>
      <c r="D479" t="s">
        <v>13</v>
      </c>
      <c r="E479" t="s">
        <v>14</v>
      </c>
      <c r="F479" s="1">
        <v>8</v>
      </c>
      <c r="G479" t="s">
        <v>742</v>
      </c>
      <c r="H479" t="s">
        <v>25</v>
      </c>
      <c r="I479" t="s">
        <v>17</v>
      </c>
      <c r="J479" t="s">
        <v>18</v>
      </c>
      <c r="K479" t="str">
        <f t="shared" si="56"/>
        <v>Garbage Collection</v>
      </c>
      <c r="L479" t="s">
        <v>883</v>
      </c>
      <c r="M479" t="str">
        <f t="shared" si="57"/>
        <v>Garbage not collected for 3 days</v>
      </c>
      <c r="N479">
        <v>5</v>
      </c>
      <c r="O479" t="s">
        <v>37</v>
      </c>
      <c r="P479">
        <f t="shared" si="58"/>
        <v>15</v>
      </c>
      <c r="Q479" t="str">
        <f t="shared" si="59"/>
        <v>Within SLA</v>
      </c>
      <c r="R479" t="str">
        <f t="shared" si="60"/>
        <v>Off479</v>
      </c>
      <c r="S479">
        <v>2</v>
      </c>
      <c r="T479">
        <v>9</v>
      </c>
      <c r="U479">
        <v>21432</v>
      </c>
      <c r="V479">
        <v>22392</v>
      </c>
      <c r="W479" t="str">
        <f t="shared" si="61"/>
        <v>No</v>
      </c>
      <c r="X479" t="str">
        <f t="shared" si="62"/>
        <v>None</v>
      </c>
      <c r="Y479" s="2">
        <f t="shared" si="63"/>
        <v>45672</v>
      </c>
    </row>
    <row r="480" spans="1:25" x14ac:dyDescent="0.25">
      <c r="A480" t="s">
        <v>848</v>
      </c>
      <c r="B480" t="s">
        <v>69</v>
      </c>
      <c r="C480" t="s">
        <v>33</v>
      </c>
      <c r="D480" t="s">
        <v>34</v>
      </c>
      <c r="E480" t="s">
        <v>23</v>
      </c>
      <c r="F480" s="1">
        <v>16</v>
      </c>
      <c r="G480" t="s">
        <v>257</v>
      </c>
      <c r="H480" t="s">
        <v>16</v>
      </c>
      <c r="I480" t="s">
        <v>17</v>
      </c>
      <c r="J480" t="s">
        <v>18</v>
      </c>
      <c r="K480" t="str">
        <f t="shared" si="56"/>
        <v>General Complaint</v>
      </c>
      <c r="L480" t="s">
        <v>884</v>
      </c>
      <c r="M480" t="str">
        <f t="shared" si="57"/>
        <v>General complaint reported</v>
      </c>
      <c r="N480">
        <v>2</v>
      </c>
      <c r="O480" t="s">
        <v>18</v>
      </c>
      <c r="P480">
        <f t="shared" si="58"/>
        <v>3</v>
      </c>
      <c r="Q480" t="str">
        <f t="shared" si="59"/>
        <v>Delayed</v>
      </c>
      <c r="R480" t="str">
        <f t="shared" si="60"/>
        <v>Off480</v>
      </c>
      <c r="S480">
        <v>2</v>
      </c>
      <c r="T480">
        <v>32</v>
      </c>
      <c r="U480">
        <v>42364</v>
      </c>
      <c r="V480">
        <v>43909</v>
      </c>
      <c r="W480" t="str">
        <f t="shared" si="61"/>
        <v>Yes</v>
      </c>
      <c r="X480" t="str">
        <f t="shared" si="62"/>
        <v>Level 3</v>
      </c>
      <c r="Y480" s="2">
        <f t="shared" si="63"/>
        <v>45731</v>
      </c>
    </row>
    <row r="481" spans="1:25" x14ac:dyDescent="0.25">
      <c r="A481" t="s">
        <v>849</v>
      </c>
      <c r="B481" t="s">
        <v>53</v>
      </c>
      <c r="C481" t="s">
        <v>56</v>
      </c>
      <c r="D481" t="s">
        <v>34</v>
      </c>
      <c r="E481" t="s">
        <v>42</v>
      </c>
      <c r="F481" s="1">
        <v>21</v>
      </c>
      <c r="G481" t="s">
        <v>380</v>
      </c>
      <c r="H481" t="s">
        <v>40</v>
      </c>
      <c r="I481" t="s">
        <v>26</v>
      </c>
      <c r="J481" t="s">
        <v>18</v>
      </c>
      <c r="K481" t="str">
        <f t="shared" si="56"/>
        <v>Public Transport Delay</v>
      </c>
      <c r="L481" t="s">
        <v>885</v>
      </c>
      <c r="M481" t="str">
        <f t="shared" si="57"/>
        <v>Bus arrival delay reported</v>
      </c>
      <c r="N481">
        <v>2</v>
      </c>
      <c r="O481" t="s">
        <v>18</v>
      </c>
      <c r="P481">
        <f t="shared" si="58"/>
        <v>3</v>
      </c>
      <c r="Q481" t="str">
        <f t="shared" si="59"/>
        <v>Delayed</v>
      </c>
      <c r="R481" t="str">
        <f t="shared" si="60"/>
        <v>Off481</v>
      </c>
      <c r="S481">
        <v>15</v>
      </c>
      <c r="T481">
        <v>9</v>
      </c>
      <c r="U481">
        <v>15059</v>
      </c>
      <c r="V481">
        <v>16634</v>
      </c>
      <c r="W481" t="str">
        <f t="shared" si="61"/>
        <v>Yes</v>
      </c>
      <c r="X481" t="str">
        <f t="shared" si="62"/>
        <v>Level 3</v>
      </c>
      <c r="Y481" s="2">
        <f t="shared" si="63"/>
        <v>45762</v>
      </c>
    </row>
    <row r="482" spans="1:25" x14ac:dyDescent="0.25">
      <c r="A482" t="s">
        <v>850</v>
      </c>
      <c r="B482" t="s">
        <v>11</v>
      </c>
      <c r="C482" t="s">
        <v>84</v>
      </c>
      <c r="D482" t="s">
        <v>13</v>
      </c>
      <c r="E482" t="s">
        <v>30</v>
      </c>
      <c r="F482" s="1">
        <v>44</v>
      </c>
      <c r="G482" t="s">
        <v>851</v>
      </c>
      <c r="H482" t="s">
        <v>51</v>
      </c>
      <c r="I482" t="s">
        <v>26</v>
      </c>
      <c r="J482" t="s">
        <v>18</v>
      </c>
      <c r="K482" t="str">
        <f t="shared" si="56"/>
        <v>Water Leakage</v>
      </c>
      <c r="L482" t="s">
        <v>881</v>
      </c>
      <c r="M482" t="str">
        <f t="shared" si="57"/>
        <v>Water pipe leakage near school</v>
      </c>
      <c r="N482">
        <v>2</v>
      </c>
      <c r="O482" t="s">
        <v>18</v>
      </c>
      <c r="P482">
        <f t="shared" si="58"/>
        <v>15</v>
      </c>
      <c r="Q482" t="str">
        <f t="shared" si="59"/>
        <v>Delayed</v>
      </c>
      <c r="R482" t="str">
        <f t="shared" si="60"/>
        <v>Off482</v>
      </c>
      <c r="S482">
        <v>5</v>
      </c>
      <c r="T482">
        <v>11</v>
      </c>
      <c r="U482">
        <v>10514</v>
      </c>
      <c r="V482">
        <v>12021</v>
      </c>
      <c r="W482" t="str">
        <f t="shared" si="61"/>
        <v>Yes</v>
      </c>
      <c r="X482" t="str">
        <f t="shared" si="62"/>
        <v>Level 1</v>
      </c>
      <c r="Y482" s="2">
        <f t="shared" si="63"/>
        <v>46013</v>
      </c>
    </row>
    <row r="483" spans="1:25" x14ac:dyDescent="0.25">
      <c r="A483" t="s">
        <v>852</v>
      </c>
      <c r="B483" t="s">
        <v>20</v>
      </c>
      <c r="C483" t="s">
        <v>61</v>
      </c>
      <c r="D483" t="s">
        <v>13</v>
      </c>
      <c r="E483" t="s">
        <v>14</v>
      </c>
      <c r="F483" s="1">
        <v>7</v>
      </c>
      <c r="G483" t="s">
        <v>853</v>
      </c>
      <c r="H483" t="s">
        <v>16</v>
      </c>
      <c r="I483" t="s">
        <v>26</v>
      </c>
      <c r="J483" t="s">
        <v>37</v>
      </c>
      <c r="K483" t="str">
        <f t="shared" si="56"/>
        <v>Garbage Collection</v>
      </c>
      <c r="L483" t="s">
        <v>882</v>
      </c>
      <c r="M483" t="str">
        <f t="shared" si="57"/>
        <v>Garbage not collected for 3 days</v>
      </c>
      <c r="N483">
        <v>1</v>
      </c>
      <c r="O483" t="s">
        <v>18</v>
      </c>
      <c r="P483">
        <f t="shared" si="58"/>
        <v>15</v>
      </c>
      <c r="Q483" t="str">
        <f t="shared" si="59"/>
        <v>Within SLA</v>
      </c>
      <c r="R483" t="str">
        <f t="shared" si="60"/>
        <v>Off483</v>
      </c>
      <c r="S483">
        <v>14</v>
      </c>
      <c r="T483">
        <v>11</v>
      </c>
      <c r="U483">
        <v>11882</v>
      </c>
      <c r="V483">
        <v>10345</v>
      </c>
      <c r="W483" t="str">
        <f t="shared" si="61"/>
        <v>No</v>
      </c>
      <c r="X483" t="str">
        <f t="shared" si="62"/>
        <v>None</v>
      </c>
      <c r="Y483" s="2">
        <f t="shared" si="63"/>
        <v>45715</v>
      </c>
    </row>
    <row r="484" spans="1:25" x14ac:dyDescent="0.25">
      <c r="A484" t="s">
        <v>854</v>
      </c>
      <c r="B484" t="s">
        <v>53</v>
      </c>
      <c r="C484" t="s">
        <v>39</v>
      </c>
      <c r="D484" t="s">
        <v>13</v>
      </c>
      <c r="E484" t="s">
        <v>30</v>
      </c>
      <c r="F484" s="1">
        <v>20</v>
      </c>
      <c r="G484" t="s">
        <v>259</v>
      </c>
      <c r="H484" t="s">
        <v>25</v>
      </c>
      <c r="I484" t="s">
        <v>44</v>
      </c>
      <c r="J484" t="s">
        <v>18</v>
      </c>
      <c r="K484" t="str">
        <f t="shared" si="56"/>
        <v>Public Transport Delay</v>
      </c>
      <c r="L484" t="s">
        <v>883</v>
      </c>
      <c r="M484" t="str">
        <f t="shared" si="57"/>
        <v>Bus arrival delay reported</v>
      </c>
      <c r="N484">
        <v>2</v>
      </c>
      <c r="O484" t="s">
        <v>18</v>
      </c>
      <c r="P484">
        <f t="shared" si="58"/>
        <v>15</v>
      </c>
      <c r="Q484" t="str">
        <f t="shared" si="59"/>
        <v>Delayed</v>
      </c>
      <c r="R484" t="str">
        <f t="shared" si="60"/>
        <v>Off484</v>
      </c>
      <c r="S484">
        <v>11</v>
      </c>
      <c r="T484">
        <v>43</v>
      </c>
      <c r="U484">
        <v>31124</v>
      </c>
      <c r="V484">
        <v>33117</v>
      </c>
      <c r="W484" t="str">
        <f t="shared" si="61"/>
        <v>Yes</v>
      </c>
      <c r="X484" t="str">
        <f t="shared" si="62"/>
        <v>Level 1</v>
      </c>
      <c r="Y484" s="2">
        <f t="shared" si="63"/>
        <v>46053</v>
      </c>
    </row>
    <row r="485" spans="1:25" x14ac:dyDescent="0.25">
      <c r="A485" t="s">
        <v>855</v>
      </c>
      <c r="B485" t="s">
        <v>28</v>
      </c>
      <c r="C485" t="s">
        <v>29</v>
      </c>
      <c r="D485" t="s">
        <v>34</v>
      </c>
      <c r="E485" t="s">
        <v>30</v>
      </c>
      <c r="F485" s="1">
        <v>42</v>
      </c>
      <c r="G485" t="s">
        <v>856</v>
      </c>
      <c r="H485" t="s">
        <v>51</v>
      </c>
      <c r="I485" t="s">
        <v>36</v>
      </c>
      <c r="J485" t="s">
        <v>18</v>
      </c>
      <c r="K485" t="str">
        <f t="shared" si="56"/>
        <v>Road Damage</v>
      </c>
      <c r="L485" t="s">
        <v>884</v>
      </c>
      <c r="M485" t="str">
        <f t="shared" si="57"/>
        <v>Road damaged due to heavy rain</v>
      </c>
      <c r="N485">
        <v>5</v>
      </c>
      <c r="O485" t="s">
        <v>37</v>
      </c>
      <c r="P485">
        <f t="shared" si="58"/>
        <v>3</v>
      </c>
      <c r="Q485" t="str">
        <f t="shared" si="59"/>
        <v>Delayed</v>
      </c>
      <c r="R485" t="str">
        <f t="shared" si="60"/>
        <v>Off485</v>
      </c>
      <c r="S485">
        <v>15</v>
      </c>
      <c r="T485">
        <v>30</v>
      </c>
      <c r="U485">
        <v>4009</v>
      </c>
      <c r="V485">
        <v>2708</v>
      </c>
      <c r="W485" t="str">
        <f t="shared" si="61"/>
        <v>Yes</v>
      </c>
      <c r="X485" t="str">
        <f t="shared" si="62"/>
        <v>Level 3</v>
      </c>
      <c r="Y485" s="2">
        <f t="shared" si="63"/>
        <v>46223</v>
      </c>
    </row>
    <row r="486" spans="1:25" x14ac:dyDescent="0.25">
      <c r="A486" t="s">
        <v>857</v>
      </c>
      <c r="B486" t="s">
        <v>53</v>
      </c>
      <c r="C486" t="s">
        <v>39</v>
      </c>
      <c r="D486" t="s">
        <v>22</v>
      </c>
      <c r="E486" t="s">
        <v>30</v>
      </c>
      <c r="F486" s="1">
        <v>42</v>
      </c>
      <c r="G486" t="s">
        <v>858</v>
      </c>
      <c r="H486" t="s">
        <v>47</v>
      </c>
      <c r="I486" t="s">
        <v>44</v>
      </c>
      <c r="J486" t="s">
        <v>18</v>
      </c>
      <c r="K486" t="str">
        <f t="shared" si="56"/>
        <v>Public Transport Delay</v>
      </c>
      <c r="L486" t="s">
        <v>885</v>
      </c>
      <c r="M486" t="str">
        <f t="shared" si="57"/>
        <v>Bus arrival delay reported</v>
      </c>
      <c r="N486">
        <v>5</v>
      </c>
      <c r="O486" t="s">
        <v>37</v>
      </c>
      <c r="P486">
        <f t="shared" si="58"/>
        <v>7</v>
      </c>
      <c r="Q486" t="str">
        <f t="shared" si="59"/>
        <v>Delayed</v>
      </c>
      <c r="R486" t="str">
        <f t="shared" si="60"/>
        <v>Off486</v>
      </c>
      <c r="S486">
        <v>1</v>
      </c>
      <c r="T486">
        <v>15</v>
      </c>
      <c r="U486">
        <v>39878</v>
      </c>
      <c r="V486">
        <v>41598</v>
      </c>
      <c r="W486" t="str">
        <f t="shared" si="61"/>
        <v>Yes</v>
      </c>
      <c r="X486" t="str">
        <f t="shared" si="62"/>
        <v>Level 2</v>
      </c>
      <c r="Y486" s="2">
        <f t="shared" si="63"/>
        <v>45939</v>
      </c>
    </row>
    <row r="487" spans="1:25" x14ac:dyDescent="0.25">
      <c r="A487" t="s">
        <v>859</v>
      </c>
      <c r="B487" t="s">
        <v>11</v>
      </c>
      <c r="C487" t="s">
        <v>49</v>
      </c>
      <c r="D487" t="s">
        <v>22</v>
      </c>
      <c r="E487" t="s">
        <v>14</v>
      </c>
      <c r="F487" s="1">
        <v>37</v>
      </c>
      <c r="G487" t="s">
        <v>742</v>
      </c>
      <c r="H487" t="s">
        <v>25</v>
      </c>
      <c r="I487" t="s">
        <v>36</v>
      </c>
      <c r="J487" t="s">
        <v>18</v>
      </c>
      <c r="K487" t="str">
        <f t="shared" si="56"/>
        <v>Water Leakage</v>
      </c>
      <c r="L487" t="s">
        <v>881</v>
      </c>
      <c r="M487" t="str">
        <f t="shared" si="57"/>
        <v>Water pipe leakage near school</v>
      </c>
      <c r="N487">
        <v>5</v>
      </c>
      <c r="O487" t="s">
        <v>37</v>
      </c>
      <c r="P487">
        <f t="shared" si="58"/>
        <v>7</v>
      </c>
      <c r="Q487" t="str">
        <f t="shared" si="59"/>
        <v>Delayed</v>
      </c>
      <c r="R487" t="str">
        <f t="shared" si="60"/>
        <v>Off487</v>
      </c>
      <c r="S487">
        <v>1</v>
      </c>
      <c r="T487">
        <v>25</v>
      </c>
      <c r="U487">
        <v>14199</v>
      </c>
      <c r="V487">
        <v>13410</v>
      </c>
      <c r="W487" t="str">
        <f t="shared" si="61"/>
        <v>Yes</v>
      </c>
      <c r="X487" t="str">
        <f t="shared" si="62"/>
        <v>Level 2</v>
      </c>
      <c r="Y487" s="2">
        <f t="shared" si="63"/>
        <v>45701</v>
      </c>
    </row>
    <row r="488" spans="1:25" x14ac:dyDescent="0.25">
      <c r="A488" t="s">
        <v>860</v>
      </c>
      <c r="B488" t="s">
        <v>11</v>
      </c>
      <c r="C488" t="s">
        <v>29</v>
      </c>
      <c r="D488" t="s">
        <v>22</v>
      </c>
      <c r="E488" t="s">
        <v>14</v>
      </c>
      <c r="F488" s="1">
        <v>9</v>
      </c>
      <c r="G488" t="s">
        <v>572</v>
      </c>
      <c r="H488" t="s">
        <v>51</v>
      </c>
      <c r="I488" t="s">
        <v>17</v>
      </c>
      <c r="J488" t="s">
        <v>18</v>
      </c>
      <c r="K488" t="str">
        <f t="shared" si="56"/>
        <v>Water Leakage</v>
      </c>
      <c r="L488" t="s">
        <v>882</v>
      </c>
      <c r="M488" t="str">
        <f t="shared" si="57"/>
        <v>Water pipe leakage near school</v>
      </c>
      <c r="N488">
        <v>1</v>
      </c>
      <c r="O488" t="s">
        <v>18</v>
      </c>
      <c r="P488">
        <f t="shared" si="58"/>
        <v>7</v>
      </c>
      <c r="Q488" t="str">
        <f t="shared" si="59"/>
        <v>Delayed</v>
      </c>
      <c r="R488" t="str">
        <f t="shared" si="60"/>
        <v>Off488</v>
      </c>
      <c r="S488">
        <v>5</v>
      </c>
      <c r="T488">
        <v>15</v>
      </c>
      <c r="U488">
        <v>5892</v>
      </c>
      <c r="V488">
        <v>5244</v>
      </c>
      <c r="W488" t="str">
        <f t="shared" si="61"/>
        <v>Yes</v>
      </c>
      <c r="X488" t="str">
        <f t="shared" si="62"/>
        <v>Level 2</v>
      </c>
      <c r="Y488" s="2">
        <f t="shared" si="63"/>
        <v>45996</v>
      </c>
    </row>
    <row r="489" spans="1:25" x14ac:dyDescent="0.25">
      <c r="A489" t="s">
        <v>861</v>
      </c>
      <c r="B489" t="s">
        <v>20</v>
      </c>
      <c r="C489" t="s">
        <v>29</v>
      </c>
      <c r="D489" t="s">
        <v>13</v>
      </c>
      <c r="E489" t="s">
        <v>14</v>
      </c>
      <c r="F489" s="1">
        <v>34</v>
      </c>
      <c r="G489" t="s">
        <v>862</v>
      </c>
      <c r="H489" t="s">
        <v>51</v>
      </c>
      <c r="I489" t="s">
        <v>44</v>
      </c>
      <c r="J489" t="s">
        <v>18</v>
      </c>
      <c r="K489" t="str">
        <f t="shared" si="56"/>
        <v>Garbage Collection</v>
      </c>
      <c r="L489" t="s">
        <v>883</v>
      </c>
      <c r="M489" t="str">
        <f t="shared" si="57"/>
        <v>Garbage not collected for 3 days</v>
      </c>
      <c r="N489">
        <v>2</v>
      </c>
      <c r="O489" t="s">
        <v>18</v>
      </c>
      <c r="P489">
        <f t="shared" si="58"/>
        <v>15</v>
      </c>
      <c r="Q489" t="str">
        <f t="shared" si="59"/>
        <v>Delayed</v>
      </c>
      <c r="R489" t="str">
        <f t="shared" si="60"/>
        <v>Off489</v>
      </c>
      <c r="S489">
        <v>12</v>
      </c>
      <c r="T489">
        <v>22</v>
      </c>
      <c r="U489">
        <v>46478</v>
      </c>
      <c r="V489">
        <v>46548</v>
      </c>
      <c r="W489" t="str">
        <f t="shared" si="61"/>
        <v>Yes</v>
      </c>
      <c r="X489" t="str">
        <f t="shared" si="62"/>
        <v>Level 1</v>
      </c>
      <c r="Y489" s="2">
        <f t="shared" si="63"/>
        <v>46121</v>
      </c>
    </row>
    <row r="490" spans="1:25" x14ac:dyDescent="0.25">
      <c r="A490" t="s">
        <v>863</v>
      </c>
      <c r="B490" t="s">
        <v>11</v>
      </c>
      <c r="C490" t="s">
        <v>29</v>
      </c>
      <c r="D490" t="s">
        <v>13</v>
      </c>
      <c r="E490" t="s">
        <v>14</v>
      </c>
      <c r="F490" s="1">
        <v>23</v>
      </c>
      <c r="G490" t="s">
        <v>864</v>
      </c>
      <c r="H490" t="s">
        <v>51</v>
      </c>
      <c r="I490" t="s">
        <v>26</v>
      </c>
      <c r="J490" t="s">
        <v>18</v>
      </c>
      <c r="K490" t="str">
        <f t="shared" si="56"/>
        <v>Water Leakage</v>
      </c>
      <c r="L490" t="s">
        <v>884</v>
      </c>
      <c r="M490" t="str">
        <f t="shared" si="57"/>
        <v>Water pipe leakage near school</v>
      </c>
      <c r="N490">
        <v>2</v>
      </c>
      <c r="O490" t="s">
        <v>18</v>
      </c>
      <c r="P490">
        <f t="shared" si="58"/>
        <v>15</v>
      </c>
      <c r="Q490" t="str">
        <f t="shared" si="59"/>
        <v>Delayed</v>
      </c>
      <c r="R490" t="str">
        <f t="shared" si="60"/>
        <v>Off490</v>
      </c>
      <c r="S490">
        <v>7</v>
      </c>
      <c r="T490">
        <v>37</v>
      </c>
      <c r="U490">
        <v>23897</v>
      </c>
      <c r="V490">
        <v>25543</v>
      </c>
      <c r="W490" t="str">
        <f t="shared" si="61"/>
        <v>Yes</v>
      </c>
      <c r="X490" t="str">
        <f t="shared" si="62"/>
        <v>Level 1</v>
      </c>
      <c r="Y490" s="2">
        <f t="shared" si="63"/>
        <v>45753</v>
      </c>
    </row>
    <row r="491" spans="1:25" x14ac:dyDescent="0.25">
      <c r="A491" t="s">
        <v>865</v>
      </c>
      <c r="B491" t="s">
        <v>11</v>
      </c>
      <c r="C491" t="s">
        <v>33</v>
      </c>
      <c r="D491" t="s">
        <v>34</v>
      </c>
      <c r="E491" t="s">
        <v>30</v>
      </c>
      <c r="F491" s="1">
        <v>22</v>
      </c>
      <c r="G491" t="s">
        <v>866</v>
      </c>
      <c r="H491" t="s">
        <v>58</v>
      </c>
      <c r="I491" t="s">
        <v>65</v>
      </c>
      <c r="J491" t="s">
        <v>18</v>
      </c>
      <c r="K491" t="str">
        <f t="shared" si="56"/>
        <v>Water Leakage</v>
      </c>
      <c r="L491" t="s">
        <v>885</v>
      </c>
      <c r="M491" t="str">
        <f t="shared" si="57"/>
        <v>Water pipe leakage near school</v>
      </c>
      <c r="N491">
        <v>1</v>
      </c>
      <c r="O491" t="s">
        <v>18</v>
      </c>
      <c r="P491">
        <f t="shared" si="58"/>
        <v>3</v>
      </c>
      <c r="Q491" t="str">
        <f t="shared" si="59"/>
        <v>Delayed</v>
      </c>
      <c r="R491" t="str">
        <f t="shared" si="60"/>
        <v>Off491</v>
      </c>
      <c r="S491">
        <v>1</v>
      </c>
      <c r="T491">
        <v>20</v>
      </c>
      <c r="U491">
        <v>20530</v>
      </c>
      <c r="V491">
        <v>20702</v>
      </c>
      <c r="W491" t="str">
        <f t="shared" si="61"/>
        <v>Yes</v>
      </c>
      <c r="X491" t="str">
        <f t="shared" si="62"/>
        <v>Level 3</v>
      </c>
      <c r="Y491" s="2">
        <f t="shared" si="63"/>
        <v>45817</v>
      </c>
    </row>
    <row r="492" spans="1:25" x14ac:dyDescent="0.25">
      <c r="A492" t="s">
        <v>867</v>
      </c>
      <c r="B492" t="s">
        <v>60</v>
      </c>
      <c r="C492" t="s">
        <v>49</v>
      </c>
      <c r="D492" t="s">
        <v>22</v>
      </c>
      <c r="E492" t="s">
        <v>42</v>
      </c>
      <c r="F492" s="1">
        <v>29</v>
      </c>
      <c r="G492" t="s">
        <v>195</v>
      </c>
      <c r="H492" t="s">
        <v>58</v>
      </c>
      <c r="I492" t="s">
        <v>17</v>
      </c>
      <c r="J492" t="s">
        <v>18</v>
      </c>
      <c r="K492" t="str">
        <f t="shared" si="56"/>
        <v>General Complaint</v>
      </c>
      <c r="L492" t="s">
        <v>881</v>
      </c>
      <c r="M492" t="str">
        <f t="shared" si="57"/>
        <v>General complaint reported</v>
      </c>
      <c r="N492">
        <v>3</v>
      </c>
      <c r="O492" t="s">
        <v>37</v>
      </c>
      <c r="P492">
        <f t="shared" si="58"/>
        <v>7</v>
      </c>
      <c r="Q492" t="str">
        <f t="shared" si="59"/>
        <v>Delayed</v>
      </c>
      <c r="R492" t="str">
        <f t="shared" si="60"/>
        <v>Off492</v>
      </c>
      <c r="S492">
        <v>3</v>
      </c>
      <c r="T492">
        <v>25</v>
      </c>
      <c r="U492">
        <v>43983</v>
      </c>
      <c r="V492">
        <v>42684</v>
      </c>
      <c r="W492" t="str">
        <f t="shared" si="61"/>
        <v>Yes</v>
      </c>
      <c r="X492" t="str">
        <f t="shared" si="62"/>
        <v>Level 2</v>
      </c>
      <c r="Y492" s="2">
        <f t="shared" si="63"/>
        <v>46150</v>
      </c>
    </row>
    <row r="493" spans="1:25" x14ac:dyDescent="0.25">
      <c r="A493" t="s">
        <v>868</v>
      </c>
      <c r="B493" t="s">
        <v>11</v>
      </c>
      <c r="C493" t="s">
        <v>61</v>
      </c>
      <c r="D493" t="s">
        <v>34</v>
      </c>
      <c r="E493" t="s">
        <v>30</v>
      </c>
      <c r="F493" s="1">
        <v>31</v>
      </c>
      <c r="G493" t="s">
        <v>869</v>
      </c>
      <c r="H493" t="s">
        <v>40</v>
      </c>
      <c r="I493" t="s">
        <v>65</v>
      </c>
      <c r="J493" t="s">
        <v>18</v>
      </c>
      <c r="K493" t="str">
        <f t="shared" si="56"/>
        <v>Water Leakage</v>
      </c>
      <c r="L493" t="s">
        <v>882</v>
      </c>
      <c r="M493" t="str">
        <f t="shared" si="57"/>
        <v>Water pipe leakage near school</v>
      </c>
      <c r="N493">
        <v>2</v>
      </c>
      <c r="O493" t="s">
        <v>18</v>
      </c>
      <c r="P493">
        <f t="shared" si="58"/>
        <v>3</v>
      </c>
      <c r="Q493" t="str">
        <f t="shared" si="59"/>
        <v>Delayed</v>
      </c>
      <c r="R493" t="str">
        <f t="shared" si="60"/>
        <v>Off493</v>
      </c>
      <c r="S493">
        <v>7</v>
      </c>
      <c r="T493">
        <v>29</v>
      </c>
      <c r="U493">
        <v>24847</v>
      </c>
      <c r="V493">
        <v>23787</v>
      </c>
      <c r="W493" t="str">
        <f t="shared" si="61"/>
        <v>Yes</v>
      </c>
      <c r="X493" t="str">
        <f t="shared" si="62"/>
        <v>Level 3</v>
      </c>
      <c r="Y493" s="2">
        <f t="shared" si="63"/>
        <v>45845</v>
      </c>
    </row>
    <row r="494" spans="1:25" x14ac:dyDescent="0.25">
      <c r="A494" t="s">
        <v>870</v>
      </c>
      <c r="B494" t="s">
        <v>20</v>
      </c>
      <c r="C494" t="s">
        <v>61</v>
      </c>
      <c r="D494" t="s">
        <v>22</v>
      </c>
      <c r="E494" t="s">
        <v>30</v>
      </c>
      <c r="F494" s="1">
        <v>21</v>
      </c>
      <c r="G494" t="s">
        <v>315</v>
      </c>
      <c r="H494" t="s">
        <v>25</v>
      </c>
      <c r="I494" t="s">
        <v>44</v>
      </c>
      <c r="J494" t="s">
        <v>18</v>
      </c>
      <c r="K494" t="str">
        <f t="shared" si="56"/>
        <v>Garbage Collection</v>
      </c>
      <c r="L494" t="s">
        <v>883</v>
      </c>
      <c r="M494" t="str">
        <f t="shared" si="57"/>
        <v>Garbage not collected for 3 days</v>
      </c>
      <c r="N494">
        <v>4</v>
      </c>
      <c r="O494" t="s">
        <v>37</v>
      </c>
      <c r="P494">
        <f t="shared" si="58"/>
        <v>7</v>
      </c>
      <c r="Q494" t="str">
        <f t="shared" si="59"/>
        <v>Delayed</v>
      </c>
      <c r="R494" t="str">
        <f t="shared" si="60"/>
        <v>Off494</v>
      </c>
      <c r="S494">
        <v>1</v>
      </c>
      <c r="T494">
        <v>18</v>
      </c>
      <c r="U494">
        <v>11983</v>
      </c>
      <c r="V494">
        <v>11937</v>
      </c>
      <c r="W494" t="str">
        <f t="shared" si="61"/>
        <v>Yes</v>
      </c>
      <c r="X494" t="str">
        <f t="shared" si="62"/>
        <v>Level 2</v>
      </c>
      <c r="Y494" s="2">
        <f t="shared" si="63"/>
        <v>46004</v>
      </c>
    </row>
    <row r="495" spans="1:25" x14ac:dyDescent="0.25">
      <c r="A495" t="s">
        <v>871</v>
      </c>
      <c r="B495" t="s">
        <v>28</v>
      </c>
      <c r="C495" t="s">
        <v>84</v>
      </c>
      <c r="D495" t="s">
        <v>13</v>
      </c>
      <c r="E495" t="s">
        <v>14</v>
      </c>
      <c r="F495" s="1">
        <v>24</v>
      </c>
      <c r="G495" t="s">
        <v>872</v>
      </c>
      <c r="H495" t="s">
        <v>51</v>
      </c>
      <c r="I495" t="s">
        <v>65</v>
      </c>
      <c r="J495" t="s">
        <v>18</v>
      </c>
      <c r="K495" t="str">
        <f t="shared" si="56"/>
        <v>Road Damage</v>
      </c>
      <c r="L495" t="s">
        <v>884</v>
      </c>
      <c r="M495" t="str">
        <f t="shared" si="57"/>
        <v>Road damaged due to heavy rain</v>
      </c>
      <c r="N495">
        <v>3</v>
      </c>
      <c r="O495" t="s">
        <v>37</v>
      </c>
      <c r="P495">
        <f t="shared" si="58"/>
        <v>15</v>
      </c>
      <c r="Q495" t="str">
        <f t="shared" si="59"/>
        <v>Delayed</v>
      </c>
      <c r="R495" t="str">
        <f t="shared" si="60"/>
        <v>Off495</v>
      </c>
      <c r="S495">
        <v>14</v>
      </c>
      <c r="T495">
        <v>38</v>
      </c>
      <c r="U495">
        <v>20046</v>
      </c>
      <c r="V495">
        <v>21897</v>
      </c>
      <c r="W495" t="str">
        <f t="shared" si="61"/>
        <v>Yes</v>
      </c>
      <c r="X495" t="str">
        <f t="shared" si="62"/>
        <v>Level 1</v>
      </c>
      <c r="Y495" s="2">
        <f t="shared" si="63"/>
        <v>45792</v>
      </c>
    </row>
    <row r="496" spans="1:25" x14ac:dyDescent="0.25">
      <c r="A496" t="s">
        <v>873</v>
      </c>
      <c r="B496" t="s">
        <v>69</v>
      </c>
      <c r="C496" t="s">
        <v>21</v>
      </c>
      <c r="D496" t="s">
        <v>34</v>
      </c>
      <c r="E496" t="s">
        <v>23</v>
      </c>
      <c r="F496" s="1">
        <v>5</v>
      </c>
      <c r="G496" t="s">
        <v>362</v>
      </c>
      <c r="H496" t="s">
        <v>47</v>
      </c>
      <c r="I496" t="s">
        <v>44</v>
      </c>
      <c r="J496" t="s">
        <v>37</v>
      </c>
      <c r="K496" t="str">
        <f t="shared" si="56"/>
        <v>General Complaint</v>
      </c>
      <c r="L496" t="s">
        <v>885</v>
      </c>
      <c r="M496" t="str">
        <f t="shared" si="57"/>
        <v>General complaint reported</v>
      </c>
      <c r="N496">
        <v>3</v>
      </c>
      <c r="O496" t="s">
        <v>37</v>
      </c>
      <c r="P496">
        <f t="shared" si="58"/>
        <v>3</v>
      </c>
      <c r="Q496" t="str">
        <f t="shared" si="59"/>
        <v>Delayed</v>
      </c>
      <c r="R496" t="str">
        <f t="shared" si="60"/>
        <v>Off496</v>
      </c>
      <c r="S496">
        <v>13</v>
      </c>
      <c r="T496">
        <v>36</v>
      </c>
      <c r="U496">
        <v>48537</v>
      </c>
      <c r="V496">
        <v>50089</v>
      </c>
      <c r="W496" t="str">
        <f t="shared" si="61"/>
        <v>Yes</v>
      </c>
      <c r="X496" t="str">
        <f t="shared" si="62"/>
        <v>Level 3</v>
      </c>
      <c r="Y496" s="2">
        <f t="shared" si="63"/>
        <v>46024</v>
      </c>
    </row>
    <row r="497" spans="1:25" x14ac:dyDescent="0.25">
      <c r="A497" t="s">
        <v>874</v>
      </c>
      <c r="B497" t="s">
        <v>28</v>
      </c>
      <c r="C497" t="s">
        <v>56</v>
      </c>
      <c r="D497" t="s">
        <v>22</v>
      </c>
      <c r="E497" t="s">
        <v>14</v>
      </c>
      <c r="F497" s="1">
        <v>11</v>
      </c>
      <c r="G497" t="s">
        <v>174</v>
      </c>
      <c r="H497" t="s">
        <v>51</v>
      </c>
      <c r="I497" t="s">
        <v>65</v>
      </c>
      <c r="J497" t="s">
        <v>18</v>
      </c>
      <c r="K497" t="str">
        <f t="shared" si="56"/>
        <v>Road Damage</v>
      </c>
      <c r="L497" t="s">
        <v>881</v>
      </c>
      <c r="M497" t="str">
        <f t="shared" si="57"/>
        <v>Road damaged due to heavy rain</v>
      </c>
      <c r="N497">
        <v>5</v>
      </c>
      <c r="O497" t="s">
        <v>37</v>
      </c>
      <c r="P497">
        <f t="shared" si="58"/>
        <v>7</v>
      </c>
      <c r="Q497" t="str">
        <f t="shared" si="59"/>
        <v>Delayed</v>
      </c>
      <c r="R497" t="str">
        <f t="shared" si="60"/>
        <v>Off497</v>
      </c>
      <c r="S497">
        <v>5</v>
      </c>
      <c r="T497">
        <v>34</v>
      </c>
      <c r="U497">
        <v>19677</v>
      </c>
      <c r="V497">
        <v>18494</v>
      </c>
      <c r="W497" t="str">
        <f t="shared" si="61"/>
        <v>Yes</v>
      </c>
      <c r="X497" t="str">
        <f t="shared" si="62"/>
        <v>Level 2</v>
      </c>
      <c r="Y497" s="2">
        <f t="shared" si="63"/>
        <v>46203</v>
      </c>
    </row>
    <row r="498" spans="1:25" x14ac:dyDescent="0.25">
      <c r="A498" t="s">
        <v>875</v>
      </c>
      <c r="B498" t="s">
        <v>60</v>
      </c>
      <c r="C498" t="s">
        <v>61</v>
      </c>
      <c r="D498" t="s">
        <v>22</v>
      </c>
      <c r="E498" t="s">
        <v>30</v>
      </c>
      <c r="F498" s="1">
        <v>13</v>
      </c>
      <c r="G498" t="s">
        <v>108</v>
      </c>
      <c r="H498" t="s">
        <v>51</v>
      </c>
      <c r="I498" t="s">
        <v>36</v>
      </c>
      <c r="J498" t="s">
        <v>18</v>
      </c>
      <c r="K498" t="str">
        <f t="shared" si="56"/>
        <v>General Complaint</v>
      </c>
      <c r="L498" t="s">
        <v>882</v>
      </c>
      <c r="M498" t="str">
        <f t="shared" si="57"/>
        <v>General complaint reported</v>
      </c>
      <c r="N498">
        <v>1</v>
      </c>
      <c r="O498" t="s">
        <v>18</v>
      </c>
      <c r="P498">
        <f t="shared" si="58"/>
        <v>7</v>
      </c>
      <c r="Q498" t="str">
        <f t="shared" si="59"/>
        <v>Delayed</v>
      </c>
      <c r="R498" t="str">
        <f t="shared" si="60"/>
        <v>Off498</v>
      </c>
      <c r="S498">
        <v>4</v>
      </c>
      <c r="T498">
        <v>44</v>
      </c>
      <c r="U498">
        <v>26362</v>
      </c>
      <c r="V498">
        <v>25179</v>
      </c>
      <c r="W498" t="str">
        <f t="shared" si="61"/>
        <v>Yes</v>
      </c>
      <c r="X498" t="str">
        <f t="shared" si="62"/>
        <v>Level 2</v>
      </c>
      <c r="Y498" s="2">
        <f t="shared" si="63"/>
        <v>46172</v>
      </c>
    </row>
    <row r="499" spans="1:25" x14ac:dyDescent="0.25">
      <c r="A499" t="s">
        <v>876</v>
      </c>
      <c r="B499" t="s">
        <v>69</v>
      </c>
      <c r="C499" t="s">
        <v>61</v>
      </c>
      <c r="D499" t="s">
        <v>34</v>
      </c>
      <c r="E499" t="s">
        <v>23</v>
      </c>
      <c r="F499" s="1">
        <v>1</v>
      </c>
      <c r="G499" t="s">
        <v>197</v>
      </c>
      <c r="H499" t="s">
        <v>58</v>
      </c>
      <c r="I499" t="s">
        <v>36</v>
      </c>
      <c r="J499" t="s">
        <v>37</v>
      </c>
      <c r="K499" t="str">
        <f t="shared" si="56"/>
        <v>General Complaint</v>
      </c>
      <c r="L499" t="s">
        <v>883</v>
      </c>
      <c r="M499" t="str">
        <f t="shared" si="57"/>
        <v>General complaint reported</v>
      </c>
      <c r="N499">
        <v>3</v>
      </c>
      <c r="O499" t="s">
        <v>37</v>
      </c>
      <c r="P499">
        <f t="shared" si="58"/>
        <v>3</v>
      </c>
      <c r="Q499" t="str">
        <f t="shared" si="59"/>
        <v>Within SLA</v>
      </c>
      <c r="R499" t="str">
        <f t="shared" si="60"/>
        <v>Off499</v>
      </c>
      <c r="S499">
        <v>7</v>
      </c>
      <c r="T499">
        <v>40</v>
      </c>
      <c r="U499">
        <v>34725</v>
      </c>
      <c r="V499">
        <v>36259</v>
      </c>
      <c r="W499" t="str">
        <f t="shared" si="61"/>
        <v>No</v>
      </c>
      <c r="X499" t="str">
        <f t="shared" si="62"/>
        <v>None</v>
      </c>
      <c r="Y499" s="2">
        <f t="shared" si="63"/>
        <v>46045</v>
      </c>
    </row>
    <row r="500" spans="1:25" x14ac:dyDescent="0.25">
      <c r="A500" t="s">
        <v>877</v>
      </c>
      <c r="B500" t="s">
        <v>20</v>
      </c>
      <c r="C500" t="s">
        <v>29</v>
      </c>
      <c r="D500" t="s">
        <v>22</v>
      </c>
      <c r="E500" t="s">
        <v>14</v>
      </c>
      <c r="F500" s="1">
        <v>32</v>
      </c>
      <c r="G500" t="s">
        <v>224</v>
      </c>
      <c r="H500" t="s">
        <v>16</v>
      </c>
      <c r="I500" t="s">
        <v>65</v>
      </c>
      <c r="J500" t="s">
        <v>18</v>
      </c>
      <c r="K500" t="str">
        <f t="shared" si="56"/>
        <v>Garbage Collection</v>
      </c>
      <c r="L500" t="s">
        <v>884</v>
      </c>
      <c r="M500" t="str">
        <f t="shared" si="57"/>
        <v>Garbage not collected for 3 days</v>
      </c>
      <c r="N500">
        <v>4</v>
      </c>
      <c r="O500" t="s">
        <v>37</v>
      </c>
      <c r="P500">
        <f t="shared" si="58"/>
        <v>7</v>
      </c>
      <c r="Q500" t="str">
        <f t="shared" si="59"/>
        <v>Delayed</v>
      </c>
      <c r="R500" t="str">
        <f t="shared" si="60"/>
        <v>Off500</v>
      </c>
      <c r="S500">
        <v>3</v>
      </c>
      <c r="T500">
        <v>14</v>
      </c>
      <c r="U500">
        <v>37400</v>
      </c>
      <c r="V500">
        <v>37937</v>
      </c>
      <c r="W500" t="str">
        <f t="shared" si="61"/>
        <v>Yes</v>
      </c>
      <c r="X500" t="str">
        <f t="shared" si="62"/>
        <v>Level 2</v>
      </c>
      <c r="Y500" s="2">
        <f t="shared" si="63"/>
        <v>45930</v>
      </c>
    </row>
    <row r="501" spans="1:25" x14ac:dyDescent="0.25">
      <c r="A501" t="s">
        <v>878</v>
      </c>
      <c r="B501" t="s">
        <v>69</v>
      </c>
      <c r="C501" t="s">
        <v>61</v>
      </c>
      <c r="D501" t="s">
        <v>22</v>
      </c>
      <c r="E501" t="s">
        <v>14</v>
      </c>
      <c r="F501" s="1">
        <v>37</v>
      </c>
      <c r="G501" t="s">
        <v>579</v>
      </c>
      <c r="H501" t="s">
        <v>51</v>
      </c>
      <c r="I501" t="s">
        <v>65</v>
      </c>
      <c r="J501" t="s">
        <v>18</v>
      </c>
      <c r="K501" t="str">
        <f t="shared" si="56"/>
        <v>General Complaint</v>
      </c>
      <c r="L501" t="s">
        <v>885</v>
      </c>
      <c r="M501" t="str">
        <f t="shared" si="57"/>
        <v>General complaint reported</v>
      </c>
      <c r="N501">
        <v>4</v>
      </c>
      <c r="O501" t="s">
        <v>37</v>
      </c>
      <c r="P501">
        <f t="shared" si="58"/>
        <v>7</v>
      </c>
      <c r="Q501" t="str">
        <f t="shared" si="59"/>
        <v>Delayed</v>
      </c>
      <c r="R501" t="str">
        <f t="shared" si="60"/>
        <v>Off501</v>
      </c>
      <c r="S501">
        <v>14</v>
      </c>
      <c r="T501">
        <v>32</v>
      </c>
      <c r="U501">
        <v>45758</v>
      </c>
      <c r="V501">
        <v>45590</v>
      </c>
      <c r="W501" t="str">
        <f t="shared" si="61"/>
        <v>Yes</v>
      </c>
      <c r="X501" t="str">
        <f t="shared" si="62"/>
        <v>Level 2</v>
      </c>
      <c r="Y501" s="2">
        <f t="shared" si="63"/>
        <v>45838</v>
      </c>
    </row>
  </sheetData>
  <dataValidations count="1">
    <dataValidation type="list" allowBlank="1" showInputMessage="1" showErrorMessage="1" sqref="L2 L7 L12 L17 L22 L27 L32 L37 L42 L47 L52 L57 L62 L67 L72 L77 L82 L87 L92 L97 L102 L107 L112 L117 L122 L127 L132 L137 L142 L147 L152 L157 L162 L167 L172 L177 L182 L187 L192 L197 L202 L207 L212 L217 L222 L227 L232 L237 L242 L247 L252 L257 L262 L267 L272 L277 L282 L287 L292 L297 L302 L307 L312 L317 L322 L327 L332 L337 L342 L347 L352 L357 L362 L367 L372 L377 L382 L387 L392 L397 L402 L407 L412 L417 L422 L427 L432 L437 L442 L447 L452 L457 L462 L467 L472 L477 L482 L487 L492 L497" xr:uid="{8E7684F1-FA26-4C22-9793-780EB4EE3475}">
      <formula1>"Mobile App,Website,Helpline,Walk-in,Email"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03BA1-8C9F-469F-9F48-B52D4DE56C2F}">
  <dimension ref="A1:F21"/>
  <sheetViews>
    <sheetView workbookViewId="0">
      <selection activeCell="E12" sqref="E12"/>
    </sheetView>
  </sheetViews>
  <sheetFormatPr defaultRowHeight="15" x14ac:dyDescent="0.25"/>
  <cols>
    <col min="1" max="1" width="13.140625" bestFit="1" customWidth="1"/>
    <col min="2" max="2" width="21.42578125" bestFit="1" customWidth="1"/>
    <col min="4" max="4" width="13.140625" bestFit="1" customWidth="1"/>
    <col min="5" max="5" width="26.28515625" bestFit="1" customWidth="1"/>
    <col min="6" max="6" width="21.42578125" bestFit="1" customWidth="1"/>
  </cols>
  <sheetData>
    <row r="1" spans="1:6" x14ac:dyDescent="0.25">
      <c r="A1" s="4" t="s">
        <v>905</v>
      </c>
      <c r="B1" t="s">
        <v>907</v>
      </c>
    </row>
    <row r="2" spans="1:6" x14ac:dyDescent="0.25">
      <c r="A2" s="5" t="s">
        <v>20</v>
      </c>
      <c r="B2">
        <v>74</v>
      </c>
      <c r="D2" s="4" t="s">
        <v>905</v>
      </c>
      <c r="E2" t="s">
        <v>908</v>
      </c>
      <c r="F2" t="s">
        <v>907</v>
      </c>
    </row>
    <row r="3" spans="1:6" x14ac:dyDescent="0.25">
      <c r="A3" s="5" t="s">
        <v>53</v>
      </c>
      <c r="B3">
        <v>81</v>
      </c>
      <c r="D3" s="5" t="s">
        <v>16</v>
      </c>
      <c r="E3">
        <v>19.225000000000001</v>
      </c>
      <c r="F3">
        <v>80</v>
      </c>
    </row>
    <row r="4" spans="1:6" x14ac:dyDescent="0.25">
      <c r="A4" s="5" t="s">
        <v>69</v>
      </c>
      <c r="B4">
        <v>85</v>
      </c>
      <c r="D4" s="5" t="s">
        <v>47</v>
      </c>
      <c r="E4">
        <v>17.7012987012987</v>
      </c>
      <c r="F4">
        <v>77</v>
      </c>
    </row>
    <row r="5" spans="1:6" x14ac:dyDescent="0.25">
      <c r="A5" s="5" t="s">
        <v>28</v>
      </c>
      <c r="B5">
        <v>89</v>
      </c>
      <c r="D5" s="5" t="s">
        <v>25</v>
      </c>
      <c r="E5">
        <v>19.581395348837209</v>
      </c>
      <c r="F5">
        <v>86</v>
      </c>
    </row>
    <row r="6" spans="1:6" x14ac:dyDescent="0.25">
      <c r="A6" s="5" t="s">
        <v>60</v>
      </c>
      <c r="B6">
        <v>76</v>
      </c>
      <c r="D6" s="5" t="s">
        <v>58</v>
      </c>
      <c r="E6">
        <v>20.376623376623378</v>
      </c>
      <c r="F6">
        <v>77</v>
      </c>
    </row>
    <row r="7" spans="1:6" x14ac:dyDescent="0.25">
      <c r="A7" s="5" t="s">
        <v>11</v>
      </c>
      <c r="B7">
        <v>95</v>
      </c>
      <c r="D7" s="5" t="s">
        <v>40</v>
      </c>
      <c r="E7">
        <v>19.25925925925926</v>
      </c>
      <c r="F7">
        <v>81</v>
      </c>
    </row>
    <row r="8" spans="1:6" x14ac:dyDescent="0.25">
      <c r="A8" s="5" t="s">
        <v>906</v>
      </c>
      <c r="B8">
        <v>500</v>
      </c>
      <c r="D8" s="5" t="s">
        <v>51</v>
      </c>
      <c r="E8">
        <v>19.484848484848484</v>
      </c>
      <c r="F8">
        <v>99</v>
      </c>
    </row>
    <row r="9" spans="1:6" x14ac:dyDescent="0.25">
      <c r="D9" s="5" t="s">
        <v>906</v>
      </c>
      <c r="E9">
        <v>19.286000000000001</v>
      </c>
      <c r="F9">
        <v>500</v>
      </c>
    </row>
    <row r="10" spans="1:6" x14ac:dyDescent="0.25">
      <c r="A10" s="4" t="s">
        <v>905</v>
      </c>
      <c r="B10" t="s">
        <v>907</v>
      </c>
    </row>
    <row r="11" spans="1:6" x14ac:dyDescent="0.25">
      <c r="A11" s="5" t="s">
        <v>61</v>
      </c>
      <c r="B11">
        <v>44</v>
      </c>
    </row>
    <row r="12" spans="1:6" x14ac:dyDescent="0.25">
      <c r="A12" s="5" t="s">
        <v>33</v>
      </c>
      <c r="B12">
        <v>55</v>
      </c>
    </row>
    <row r="13" spans="1:6" x14ac:dyDescent="0.25">
      <c r="A13" s="5" t="s">
        <v>49</v>
      </c>
      <c r="B13">
        <v>50</v>
      </c>
    </row>
    <row r="14" spans="1:6" x14ac:dyDescent="0.25">
      <c r="A14" s="5" t="s">
        <v>84</v>
      </c>
      <c r="B14">
        <v>47</v>
      </c>
    </row>
    <row r="15" spans="1:6" x14ac:dyDescent="0.25">
      <c r="A15" s="5" t="s">
        <v>29</v>
      </c>
      <c r="B15">
        <v>52</v>
      </c>
    </row>
    <row r="16" spans="1:6" x14ac:dyDescent="0.25">
      <c r="A16" s="5" t="s">
        <v>12</v>
      </c>
      <c r="B16">
        <v>60</v>
      </c>
    </row>
    <row r="17" spans="1:2" x14ac:dyDescent="0.25">
      <c r="A17" s="5" t="s">
        <v>56</v>
      </c>
      <c r="B17">
        <v>53</v>
      </c>
    </row>
    <row r="18" spans="1:2" x14ac:dyDescent="0.25">
      <c r="A18" s="5" t="s">
        <v>39</v>
      </c>
      <c r="B18">
        <v>51</v>
      </c>
    </row>
    <row r="19" spans="1:2" x14ac:dyDescent="0.25">
      <c r="A19" s="5" t="s">
        <v>76</v>
      </c>
      <c r="B19">
        <v>46</v>
      </c>
    </row>
    <row r="20" spans="1:2" x14ac:dyDescent="0.25">
      <c r="A20" s="5" t="s">
        <v>21</v>
      </c>
      <c r="B20">
        <v>42</v>
      </c>
    </row>
    <row r="21" spans="1:2" x14ac:dyDescent="0.25">
      <c r="A21" s="5" t="s">
        <v>906</v>
      </c>
      <c r="B21">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Citizen Grievance Data</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Ruban Kumar Saravanan</cp:lastModifiedBy>
  <dcterms:created xsi:type="dcterms:W3CDTF">2026-06-23T13:35:25Z</dcterms:created>
  <dcterms:modified xsi:type="dcterms:W3CDTF">2026-07-08T07:23:57Z</dcterms:modified>
</cp:coreProperties>
</file>